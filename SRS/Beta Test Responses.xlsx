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<sst xmlns="http://schemas.openxmlformats.org/spreadsheetml/2006/main" count="286" uniqueCount="131">
  <si>
    <t>Timestamp</t>
  </si>
  <si>
    <t>Participants</t>
  </si>
  <si>
    <t>Email Address</t>
  </si>
  <si>
    <t>1. I found the system simple and easy to use.</t>
  </si>
  <si>
    <t>2.  I observed that the features of the system worked well together.</t>
  </si>
  <si>
    <t>3. I believe that most users would learn to use the system quickly.</t>
  </si>
  <si>
    <t>4. I felt comfortable and confident while using the system.</t>
  </si>
  <si>
    <t>5. I found it easy to understand how each function of the system works.</t>
  </si>
  <si>
    <t>1. I observed that the system consistently functions as expected.</t>
  </si>
  <si>
    <t>2. I found the system stable and free from unexpected failures.</t>
  </si>
  <si>
    <t>3. I rarely experience inconsistent behavior when using the system.</t>
  </si>
  <si>
    <t>4. I noticed that the system operates smoothly without needing frequent technical assistance.</t>
  </si>
  <si>
    <t>5. I trust the system to work reliably every time I use it.</t>
  </si>
  <si>
    <t>1. I found the interface visually pleasant and easy to navigate.</t>
  </si>
  <si>
    <t>2. I received clear instructions from the interface whenever I made a mistake.</t>
  </si>
  <si>
    <t>3. I felt that the interface layout was clear and well-organized.</t>
  </si>
  <si>
    <t>4. I was able to find the information I needed quickly through the interface.</t>
  </si>
  <si>
    <t>5. I  found it easy to recover from errors because the interface guided me well.</t>
  </si>
  <si>
    <t xml:space="preserve">What is your overall impression of the system so far?  </t>
  </si>
  <si>
    <t xml:space="preserve">Did you encounter any difficulties while navigating the system? Please describe. </t>
  </si>
  <si>
    <t xml:space="preserve">Were there any features that you expected but could not find? </t>
  </si>
  <si>
    <t xml:space="preserve">What improvements or additional features would you like to see in the system? </t>
  </si>
  <si>
    <t>Any other feedback or comments you’d like to share about the system?</t>
  </si>
  <si>
    <t>Column 18</t>
  </si>
  <si>
    <t>Column 19</t>
  </si>
  <si>
    <t>I felt comfortable and confident while using the system.</t>
  </si>
  <si>
    <t>2nd Year</t>
  </si>
  <si>
    <t>xxtheonlyonexx2@gmail.com</t>
  </si>
  <si>
    <t>so far the system, is great but it should have a guiding system</t>
  </si>
  <si>
    <t>first i encounter cognitive load but while navigating and getting familiar i became comfy.</t>
  </si>
  <si>
    <t>maybe a organizer menu</t>
  </si>
  <si>
    <t>menu where you can just choice what you want to see</t>
  </si>
  <si>
    <t>it's great because it can help the school provide and navigate their padt students</t>
  </si>
  <si>
    <t>jhonmarkmangodlay@gmail.com</t>
  </si>
  <si>
    <t>Goods</t>
  </si>
  <si>
    <t>No</t>
  </si>
  <si>
    <t xml:space="preserve">None </t>
  </si>
  <si>
    <t>guide</t>
  </si>
  <si>
    <t>mayad.arvien@gmail.com</t>
  </si>
  <si>
    <t xml:space="preserve">The system is very much reliable, necessary and visually appealing. </t>
  </si>
  <si>
    <t xml:space="preserve">Did not encounter any. </t>
  </si>
  <si>
    <t xml:space="preserve">Not probably related to the goal/structure of this system, but I'm expecting a way for users to interact within themselves also; Like a LinkedIn type of system. </t>
  </si>
  <si>
    <t>Probably the user interaction, but since it's explained for database recording and tracking then the system already have all the features necessary for that</t>
  </si>
  <si>
    <t xml:space="preserve">Very appealing interface, it has this theme of JHCSC vibe but gravitates on the common, usual square typed selections. Probably would like to see some colors that contrasts interface from pages within. </t>
  </si>
  <si>
    <t>4th Year</t>
  </si>
  <si>
    <t>balinderskeyster@gmail.com</t>
  </si>
  <si>
    <t>For me just remove the map because wala syay use mn gd tapos risky kaayo didto nga part kay unsa paman use anang map ug maka butang ramo manually sa address</t>
  </si>
  <si>
    <t>Sa update lng jd medjo i improve and i specific jd sya same atong ge argue gniha sa 4th year unta na record rato ninyo</t>
  </si>
  <si>
    <t>Not so far all goods ra sya</t>
  </si>
  <si>
    <t>Okay nmn sya tanan naa lng jd uban need i remove</t>
  </si>
  <si>
    <t xml:space="preserve">Update profile not create profile </t>
  </si>
  <si>
    <t>1st Year</t>
  </si>
  <si>
    <t/>
  </si>
  <si>
    <t>Nindot Inyung system!!</t>
  </si>
  <si>
    <t>Gamay pero, nice inyung system :)</t>
  </si>
  <si>
    <t>I think wala</t>
  </si>
  <si>
    <t>Wala, okay nato hehe</t>
  </si>
  <si>
    <t xml:space="preserve">You're system is nice </t>
  </si>
  <si>
    <t>Admin</t>
  </si>
  <si>
    <t>N/A</t>
  </si>
  <si>
    <t>Nice and user friendly</t>
  </si>
  <si>
    <t xml:space="preserve">Need an internet connection </t>
  </si>
  <si>
    <t>None</t>
  </si>
  <si>
    <t xml:space="preserve">More guide for beginners </t>
  </si>
  <si>
    <t xml:space="preserve">okay ra siya </t>
  </si>
  <si>
    <t xml:space="preserve">Yes, di siya ma navigate if walay wifi </t>
  </si>
  <si>
    <t>ang pag input sa gmail</t>
  </si>
  <si>
    <t xml:space="preserve">User interface </t>
  </si>
  <si>
    <t>Walay sign up</t>
  </si>
  <si>
    <t>Flow</t>
  </si>
  <si>
    <t xml:space="preserve"> Yes,  Activate account</t>
  </si>
  <si>
    <t>active/unactivr account</t>
  </si>
  <si>
    <t>button</t>
  </si>
  <si>
    <t>Color side bar</t>
  </si>
  <si>
    <t>Good but needs some improvements</t>
  </si>
  <si>
    <t>Yes</t>
  </si>
  <si>
    <t>UI/UX improvement, less complex ui</t>
  </si>
  <si>
    <t xml:space="preserve">Convenient </t>
  </si>
  <si>
    <t>Wow</t>
  </si>
  <si>
    <t xml:space="preserve">It looks good overall </t>
  </si>
  <si>
    <t>Nope</t>
  </si>
  <si>
    <t xml:space="preserve">It was more than I expected </t>
  </si>
  <si>
    <t>3rd Year</t>
  </si>
  <si>
    <t>Very Good</t>
  </si>
  <si>
    <t>none</t>
  </si>
  <si>
    <t>It's beautiful and a full functional system</t>
  </si>
  <si>
    <t xml:space="preserve">the overall impression of that system seems nice  </t>
  </si>
  <si>
    <t>there are some but with the help of the instruction from the developer's explaination it learns all the instruction</t>
  </si>
  <si>
    <t>so far  all I expected features are in the system</t>
  </si>
  <si>
    <t>EVERYTHING IS  IN PLACE JUST NEED REFINEMENT SPECIALLY  IN ERROR HANDLINGS</t>
  </si>
  <si>
    <t>EVERYTHING IS IN PLACE AS FAR AS I KNOW</t>
  </si>
  <si>
    <t>GOOD</t>
  </si>
  <si>
    <t>Good</t>
  </si>
  <si>
    <t>Nothing</t>
  </si>
  <si>
    <t>Diffucult</t>
  </si>
  <si>
    <t>difficult</t>
  </si>
  <si>
    <t>It is easy to use, but for normal users it can be confusing. The form design uses hover effects on everything, so users are not sure if something is clickable or not.</t>
  </si>
  <si>
    <t>Make only buttons and links have hover effects, so users know what is clickable.</t>
  </si>
  <si>
    <t>It should consider on none tech enthusiast specifically in hover</t>
  </si>
  <si>
    <t>Personal info</t>
  </si>
  <si>
    <t xml:space="preserve">Personal data </t>
  </si>
  <si>
    <t>If the system will deploy in other campuses it should add a role based and also a just select option specially on filling out the information ex. Country and the icons will have a clear or will be useable. Tas say hi kos programmer hahahahha</t>
  </si>
  <si>
    <t>Overall, my impression of the system is positive. It is generally easy to use and performs the intended tasks effectively. The layout is clear, and most features work as expected.</t>
  </si>
  <si>
    <t>I did not encounter major difficulties while navigating the system. However, a few sections took some time to locate, and clearer labels or guidance could improve the navigation experience.</t>
  </si>
  <si>
    <t>I expected to find more detailed help or tooltips within the system. Having quick explanations for certain features would be helpful, especially for first-time users.</t>
  </si>
  <si>
    <t>The system could be improved by enhancing navigation, adding a help or tutorial section, and improving overall responsiveness. Additional customization options would also make the user experience better.</t>
  </si>
  <si>
    <t>Overall, the system is easy to use and works well. The interface is clean and the features are helpful, but there is still room for improvement in terms of speed and clarity in some areas.</t>
  </si>
  <si>
    <t xml:space="preserve">It is good. </t>
  </si>
  <si>
    <t xml:space="preserve">Nothing. </t>
  </si>
  <si>
    <t>None so far</t>
  </si>
  <si>
    <t>I think nothing so far also</t>
  </si>
  <si>
    <t xml:space="preserve">It functions well. And thats good. </t>
  </si>
  <si>
    <t>good</t>
  </si>
  <si>
    <t>n</t>
  </si>
  <si>
    <t>Yr Lvl</t>
  </si>
  <si>
    <t># of respondents</t>
  </si>
  <si>
    <t>Section 1: Usability</t>
  </si>
  <si>
    <t>Section 2: Reliability</t>
  </si>
  <si>
    <t>Section 3: Interface</t>
  </si>
  <si>
    <t>remarks</t>
  </si>
  <si>
    <t>Q1</t>
  </si>
  <si>
    <t>Q2</t>
  </si>
  <si>
    <t>Q3</t>
  </si>
  <si>
    <t>Q4</t>
  </si>
  <si>
    <t>Q5</t>
  </si>
  <si>
    <t>3rd yr block b respondents</t>
  </si>
  <si>
    <t>target respondents supposedly 4th yr, however busy sila for IT day prep and kusog kayo manggisa huwhe:'&gt;</t>
  </si>
  <si>
    <t>si sir Jaafar ra only admin becs no other instructors sa faculty, and naki insert rami sa time ni sir</t>
  </si>
  <si>
    <t>Total</t>
  </si>
  <si>
    <t>Avg</t>
  </si>
  <si>
    <t>qwn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</si>
</sst>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0">
    <font>
      <sz val="10.0"/>
      <color rgb="FF000000"/>
      <name val="Arial"/>
      <scheme val="minor"/>
    </font>
    <font>
      <sz val="10.0"/>
      <color theme="1"/>
      <name val="Arial"/>
      <scheme val="minor"/>
    </font>
    <font>
      <color theme="1"/>
      <name val="Arial"/>
      <scheme val="minor"/>
    </font>
    <font>
      <b/>
      <color theme="1"/>
      <name val="Arial"/>
      <scheme val="minor"/>
    </font>
    <font>
      <b/>
      <sz val="12.0"/>
      <color theme="1"/>
      <name val="Arial"/>
      <scheme val="minor"/>
    </font>
    <font/>
    <font>
      <b/>
      <sz val="12.0"/>
      <color theme="1"/>
      <name val="&quot;Arial&quot;"/>
    </font>
    <font>
      <b/>
      <color rgb="FF434343"/>
      <name val="Roboto"/>
    </font>
    <font>
      <b/>
      <color rgb="FF434343"/>
      <name val="Arial"/>
      <scheme val="minor"/>
    </font>
    <font>
      <color theme="1"/>
      <name val="&quot;Google Sans Text&quot;"/>
    </font>
  </fonts>
  <fills count="16">
    <fill>
      <patternFill patternType="none"/>
    </fill>
    <fill>
      <patternFill patternType="lightGray"/>
    </fill>
    <fill>
      <patternFill patternType="solid">
        <fgColor rgb="FF00FF00"/>
        <bgColor rgb="FF00FF00"/>
      </patternFill>
    </fill>
    <fill>
      <patternFill patternType="solid">
        <fgColor rgb="FFD9EAD3"/>
        <bgColor rgb="FFD9EAD3"/>
      </patternFill>
    </fill>
    <fill>
      <patternFill patternType="solid">
        <fgColor rgb="FFFFF2CC"/>
        <bgColor rgb="FFFFF2CC"/>
      </patternFill>
    </fill>
    <fill>
      <patternFill patternType="solid">
        <fgColor rgb="FF00FFFF"/>
        <bgColor rgb="FF00FFFF"/>
      </patternFill>
    </fill>
    <fill>
      <patternFill patternType="solid">
        <fgColor rgb="FFF4CCCC"/>
        <bgColor rgb="FFF4CCCC"/>
      </patternFill>
    </fill>
    <fill>
      <patternFill patternType="solid">
        <fgColor rgb="FFFF9900"/>
        <bgColor rgb="FFFF9900"/>
      </patternFill>
    </fill>
    <fill>
      <patternFill patternType="solid">
        <fgColor rgb="FFD0E0E3"/>
        <bgColor rgb="FFD0E0E3"/>
      </patternFill>
    </fill>
    <fill>
      <patternFill patternType="solid">
        <fgColor rgb="FFF9CB9C"/>
        <bgColor rgb="FFF9CB9C"/>
      </patternFill>
    </fill>
    <fill>
      <patternFill patternType="solid">
        <fgColor rgb="FFFFE599"/>
        <bgColor rgb="FFFFE599"/>
      </patternFill>
    </fill>
    <fill>
      <patternFill patternType="solid">
        <fgColor rgb="FFB7B7B7"/>
        <bgColor rgb="FFB7B7B7"/>
      </patternFill>
    </fill>
    <fill>
      <patternFill patternType="solid">
        <fgColor rgb="FFFFFFFF"/>
        <bgColor rgb="FFFFFFFF"/>
      </patternFill>
    </fill>
    <fill>
      <patternFill patternType="solid">
        <fgColor rgb="FFF3F3F3"/>
        <bgColor rgb="FFF3F3F3"/>
      </patternFill>
    </fill>
    <fill>
      <patternFill patternType="solid">
        <fgColor rgb="FFEAD1DC"/>
        <bgColor rgb="FFEAD1DC"/>
      </patternFill>
    </fill>
    <fill>
      <patternFill patternType="solid">
        <fgColor theme="9"/>
        <bgColor theme="9"/>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8" fontId="2" numFmtId="0" xfId="0" applyAlignment="1" applyFill="1" applyFont="1">
      <alignment horizontal="center" readingOrder="0" shrinkToFit="0" vertical="center" wrapText="1"/>
    </xf>
    <xf borderId="0" fillId="0" fontId="2" numFmtId="0" xfId="0" applyAlignment="1" applyFont="1">
      <alignment shrinkToFit="0" wrapText="1"/>
    </xf>
    <xf borderId="0" fillId="0" fontId="2" numFmtId="0" xfId="0" applyAlignment="1" applyFont="1">
      <alignment horizontal="center" shrinkToFit="0" vertical="center" wrapText="1"/>
    </xf>
    <xf borderId="0" fillId="9" fontId="3" numFmtId="0" xfId="0" applyAlignment="1" applyFill="1" applyFont="1">
      <alignment horizontal="center" readingOrder="0" shrinkToFit="0" vertical="center" wrapText="1"/>
    </xf>
    <xf borderId="1" fillId="10" fontId="4" numFmtId="0" xfId="0" applyAlignment="1" applyBorder="1" applyFill="1" applyFont="1">
      <alignment horizontal="center" readingOrder="0" shrinkToFit="0" vertical="center" wrapText="1"/>
    </xf>
    <xf borderId="2" fillId="0" fontId="5" numFmtId="0" xfId="0" applyBorder="1" applyFont="1"/>
    <xf borderId="3" fillId="0" fontId="5" numFmtId="0" xfId="0" applyBorder="1" applyFont="1"/>
    <xf borderId="1" fillId="10" fontId="6" numFmtId="0" xfId="0" applyAlignment="1" applyBorder="1" applyFont="1">
      <alignment horizontal="center" readingOrder="0"/>
    </xf>
    <xf borderId="0" fillId="0" fontId="2" numFmtId="0" xfId="0" applyAlignment="1" applyFont="1">
      <alignment horizontal="center" readingOrder="0" shrinkToFit="0" vertical="center" wrapText="1"/>
    </xf>
    <xf borderId="4" fillId="11" fontId="2" numFmtId="0" xfId="0" applyAlignment="1" applyBorder="1" applyFill="1" applyFont="1">
      <alignment horizontal="center" readingOrder="0" shrinkToFit="0" vertical="center" wrapText="1"/>
    </xf>
    <xf borderId="5" fillId="12" fontId="7" numFmtId="0" xfId="0" applyAlignment="1" applyBorder="1" applyFill="1" applyFont="1">
      <alignment horizontal="center" shrinkToFit="0" vertical="center" wrapText="1"/>
    </xf>
    <xf borderId="0" fillId="12" fontId="2" numFmtId="0" xfId="0" applyAlignment="1" applyFont="1">
      <alignment horizontal="center" shrinkToFit="0" vertical="center" wrapText="1"/>
    </xf>
    <xf borderId="0" fillId="12" fontId="2" numFmtId="0" xfId="0" applyAlignment="1" applyFont="1">
      <alignment horizontal="center"/>
    </xf>
    <xf borderId="6" fillId="13" fontId="7" numFmtId="0" xfId="0" applyAlignment="1" applyBorder="1" applyFill="1" applyFont="1">
      <alignment horizontal="center" shrinkToFit="0" vertical="center" wrapText="1"/>
    </xf>
    <xf borderId="0" fillId="13" fontId="2" numFmtId="0" xfId="0" applyAlignment="1" applyFont="1">
      <alignment horizontal="center" shrinkToFit="0" vertical="center" wrapText="1"/>
    </xf>
    <xf borderId="0" fillId="13" fontId="2" numFmtId="0" xfId="0" applyAlignment="1" applyFont="1">
      <alignment horizontal="center"/>
    </xf>
    <xf borderId="6" fillId="12" fontId="7" numFmtId="0" xfId="0" applyAlignment="1" applyBorder="1" applyFont="1">
      <alignment horizontal="center" shrinkToFit="0" vertical="center" wrapText="1"/>
    </xf>
    <xf borderId="0" fillId="12" fontId="2" numFmtId="0" xfId="0" applyAlignment="1" applyFont="1">
      <alignment horizontal="center" readingOrder="0" shrinkToFit="0" vertical="center" wrapText="1"/>
    </xf>
    <xf borderId="0" fillId="13" fontId="2" numFmtId="0" xfId="0" applyAlignment="1" applyFont="1">
      <alignment horizontal="center" readingOrder="0" shrinkToFit="0" vertical="center" wrapText="1"/>
    </xf>
    <xf borderId="0" fillId="12" fontId="8" numFmtId="0" xfId="0" applyAlignment="1" applyFont="1">
      <alignment horizontal="center" readingOrder="0" shrinkToFit="0" vertical="center" wrapText="1"/>
    </xf>
    <xf borderId="7" fillId="12" fontId="9" numFmtId="0" xfId="0" applyAlignment="1" applyBorder="1" applyFont="1">
      <alignment horizontal="center"/>
    </xf>
    <xf borderId="8" fillId="12" fontId="9" numFmtId="0" xfId="0" applyAlignment="1" applyBorder="1" applyFont="1">
      <alignment horizontal="center"/>
    </xf>
    <xf borderId="9" fillId="12" fontId="9" numFmtId="0" xfId="0" applyAlignment="1" applyBorder="1" applyFont="1">
      <alignment horizontal="center"/>
    </xf>
    <xf borderId="4" fillId="12" fontId="2" numFmtId="0" xfId="0" applyAlignment="1" applyBorder="1" applyFont="1">
      <alignment horizontal="center" shrinkToFit="0" vertical="center" wrapText="1"/>
    </xf>
    <xf borderId="0" fillId="3" fontId="3" numFmtId="0" xfId="0" applyAlignment="1" applyFont="1">
      <alignment horizontal="center" readingOrder="0" shrinkToFit="0" vertical="center" wrapText="1"/>
    </xf>
    <xf borderId="0" fillId="3" fontId="3" numFmtId="0" xfId="0" applyAlignment="1" applyFont="1">
      <alignment horizontal="center" shrinkToFit="0" vertical="center" wrapText="1"/>
    </xf>
    <xf borderId="0" fillId="14" fontId="3" numFmtId="0" xfId="0" applyAlignment="1" applyFill="1" applyFont="1">
      <alignment horizontal="center" readingOrder="0" shrinkToFit="0" vertical="center" wrapText="1"/>
    </xf>
    <xf borderId="0" fillId="14" fontId="2" numFmtId="0" xfId="0" applyAlignment="1" applyFont="1">
      <alignment horizontal="center"/>
    </xf>
    <xf borderId="0" fillId="0" fontId="3" numFmtId="0" xfId="0" applyAlignment="1" applyFont="1">
      <alignment horizontal="center" readingOrder="0" shrinkToFit="0" vertical="center" wrapText="1"/>
    </xf>
    <xf borderId="0" fillId="15" fontId="3" numFmtId="0" xfId="0" applyAlignment="1" applyFill="1" applyFont="1">
      <alignment horizontal="center" shrinkToFit="0" vertical="center" wrapText="1"/>
    </xf>
    <xf borderId="1" fillId="10" fontId="6" numFmtId="0" xfId="0" applyAlignment="1" applyBorder="1" applyFont="1">
      <alignment horizontal="center" readingOrder="0" shrinkToFit="0" wrapText="1"/>
    </xf>
    <xf borderId="2"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xf>
    <xf borderId="0" fillId="0" fontId="6" numFmtId="0" xfId="0" applyAlignment="1" applyFont="1">
      <alignment horizontal="center" readingOrder="0"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Z33" displayName="Form_Responses" name="Form_Responses" id="1">
  <tableColumns count="26">
    <tableColumn name="Timestamp" id="1"/>
    <tableColumn name="Participants" id="2"/>
    <tableColumn name="Email Address" id="3"/>
    <tableColumn name="1. I found the system simple and easy to use." id="4"/>
    <tableColumn name="2.  I observed that the features of the system worked well together." id="5"/>
    <tableColumn name="3. I believe that most users would learn to use the system quickly." id="6"/>
    <tableColumn name="4. I felt comfortable and confident while using the system." id="7"/>
    <tableColumn name="5. I found it easy to understand how each function of the system works." id="8"/>
    <tableColumn name="1. I observed that the system consistently functions as expected." id="9"/>
    <tableColumn name="2. I found the system stable and free from unexpected failures." id="10"/>
    <tableColumn name="3. I rarely experience inconsistent behavior when using the system." id="11"/>
    <tableColumn name="4. I noticed that the system operates smoothly without needing frequent technical assistance." id="12"/>
    <tableColumn name="5. I trust the system to work reliably every time I use it." id="13"/>
    <tableColumn name="1. I found the interface visually pleasant and easy to navigate." id="14"/>
    <tableColumn name="2. I received clear instructions from the interface whenever I made a mistake." id="15"/>
    <tableColumn name="3. I felt that the interface layout was clear and well-organized." id="16"/>
    <tableColumn name="4. I was able to find the information I needed quickly through the interface." id="17"/>
    <tableColumn name="5. I  found it easy to recover from errors because the interface guided me well." id="18"/>
    <tableColumn name="What is your overall impression of the system so far?  " id="19"/>
    <tableColumn name="Did you encounter any difficulties while navigating the system? Please describe. " id="20"/>
    <tableColumn name="Were there any features that you expected but could not find? " id="21"/>
    <tableColumn name="What improvements or additional features would you like to see in the system? " id="22"/>
    <tableColumn name="Any other feedback or comments you’d like to share about the system?" id="23"/>
    <tableColumn name="Column 18" id="24"/>
    <tableColumn name="Column 19" id="25"/>
    <tableColumn name="I felt comfortable and confident while using the system." id="2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18" width="12.5"/>
    <col customWidth="1" min="19" max="23" width="42.0"/>
    <col customWidth="1" hidden="1" min="24" max="26" width="21.5"/>
    <col customWidth="1" min="27" max="27" width="18.88"/>
  </cols>
  <sheetData>
    <row r="1" ht="166.5" customHeight="1">
      <c r="A1" s="1" t="s">
        <v>0</v>
      </c>
      <c r="B1" s="2"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3"/>
    </row>
    <row r="2" ht="22.5" customHeight="1">
      <c r="A2" s="4">
        <v>46002.64839556713</v>
      </c>
      <c r="B2" s="5" t="s">
        <v>26</v>
      </c>
      <c r="C2" s="5" t="s">
        <v>27</v>
      </c>
      <c r="D2" s="5">
        <v>3.0</v>
      </c>
      <c r="E2" s="5">
        <v>3.0</v>
      </c>
      <c r="F2" s="5">
        <v>2.0</v>
      </c>
      <c r="G2" s="5">
        <v>3.0</v>
      </c>
      <c r="H2" s="5">
        <v>3.0</v>
      </c>
      <c r="I2" s="5">
        <v>3.0</v>
      </c>
      <c r="J2" s="5">
        <v>4.0</v>
      </c>
      <c r="K2" s="5">
        <v>3.0</v>
      </c>
      <c r="L2" s="5">
        <v>3.0</v>
      </c>
      <c r="M2" s="5">
        <v>3.0</v>
      </c>
      <c r="N2" s="5">
        <v>3.0</v>
      </c>
      <c r="O2" s="5">
        <v>3.0</v>
      </c>
      <c r="P2" s="5">
        <v>3.0</v>
      </c>
      <c r="Q2" s="5">
        <v>3.0</v>
      </c>
      <c r="R2" s="5">
        <v>3.0</v>
      </c>
      <c r="S2" s="5" t="s">
        <v>28</v>
      </c>
      <c r="T2" s="5" t="s">
        <v>29</v>
      </c>
      <c r="U2" s="5" t="s">
        <v>30</v>
      </c>
      <c r="V2" s="5" t="s">
        <v>31</v>
      </c>
      <c r="W2" s="5" t="s">
        <v>32</v>
      </c>
      <c r="X2" s="6"/>
      <c r="Y2" s="6"/>
      <c r="Z2" s="6"/>
    </row>
    <row r="3" ht="22.5" customHeight="1">
      <c r="A3" s="4">
        <v>46002.64899707176</v>
      </c>
      <c r="B3" s="5" t="s">
        <v>26</v>
      </c>
      <c r="C3" s="5" t="s">
        <v>33</v>
      </c>
      <c r="D3" s="5">
        <v>4.0</v>
      </c>
      <c r="E3" s="5">
        <v>3.0</v>
      </c>
      <c r="F3" s="5">
        <v>4.0</v>
      </c>
      <c r="G3" s="5">
        <v>3.0</v>
      </c>
      <c r="H3" s="5">
        <v>3.0</v>
      </c>
      <c r="I3" s="5">
        <v>3.0</v>
      </c>
      <c r="J3" s="5">
        <v>3.0</v>
      </c>
      <c r="K3" s="5">
        <v>3.0</v>
      </c>
      <c r="L3" s="5">
        <v>4.0</v>
      </c>
      <c r="M3" s="5">
        <v>4.0</v>
      </c>
      <c r="N3" s="5">
        <v>4.0</v>
      </c>
      <c r="O3" s="5">
        <v>3.0</v>
      </c>
      <c r="P3" s="5">
        <v>3.0</v>
      </c>
      <c r="Q3" s="5">
        <v>3.0</v>
      </c>
      <c r="R3" s="5">
        <v>3.0</v>
      </c>
      <c r="S3" s="5" t="s">
        <v>34</v>
      </c>
      <c r="T3" s="5" t="s">
        <v>35</v>
      </c>
      <c r="U3" s="5" t="s">
        <v>36</v>
      </c>
      <c r="V3" s="5" t="s">
        <v>37</v>
      </c>
      <c r="W3" s="5" t="s">
        <v>34</v>
      </c>
      <c r="X3" s="6"/>
      <c r="Y3" s="6"/>
      <c r="Z3" s="6"/>
    </row>
    <row r="4" ht="22.5" customHeight="1">
      <c r="A4" s="4">
        <v>46002.661321458334</v>
      </c>
      <c r="B4" s="5" t="s">
        <v>26</v>
      </c>
      <c r="C4" s="5" t="s">
        <v>38</v>
      </c>
      <c r="D4" s="5">
        <v>4.0</v>
      </c>
      <c r="E4" s="5">
        <v>3.0</v>
      </c>
      <c r="F4" s="5">
        <v>3.0</v>
      </c>
      <c r="G4" s="5">
        <v>4.0</v>
      </c>
      <c r="H4" s="5">
        <v>4.0</v>
      </c>
      <c r="I4" s="5">
        <v>3.0</v>
      </c>
      <c r="J4" s="5">
        <v>3.0</v>
      </c>
      <c r="K4" s="5">
        <v>3.0</v>
      </c>
      <c r="L4" s="5">
        <v>4.0</v>
      </c>
      <c r="M4" s="5">
        <v>3.0</v>
      </c>
      <c r="N4" s="5">
        <v>4.0</v>
      </c>
      <c r="O4" s="5">
        <v>3.0</v>
      </c>
      <c r="P4" s="5">
        <v>3.0</v>
      </c>
      <c r="Q4" s="5">
        <v>3.0</v>
      </c>
      <c r="R4" s="5">
        <v>3.0</v>
      </c>
      <c r="S4" s="5" t="s">
        <v>39</v>
      </c>
      <c r="T4" s="5" t="s">
        <v>40</v>
      </c>
      <c r="U4" s="5" t="s">
        <v>41</v>
      </c>
      <c r="V4" s="5" t="s">
        <v>42</v>
      </c>
      <c r="W4" s="5" t="s">
        <v>43</v>
      </c>
      <c r="X4" s="6"/>
      <c r="Y4" s="6"/>
      <c r="Z4" s="6"/>
    </row>
    <row r="5" ht="22.5" customHeight="1">
      <c r="A5" s="4">
        <v>46002.70564850695</v>
      </c>
      <c r="B5" s="5" t="s">
        <v>44</v>
      </c>
      <c r="C5" s="5" t="s">
        <v>45</v>
      </c>
      <c r="D5" s="5">
        <v>3.0</v>
      </c>
      <c r="E5" s="5">
        <v>3.0</v>
      </c>
      <c r="F5" s="5">
        <v>3.0</v>
      </c>
      <c r="G5" s="5">
        <v>2.0</v>
      </c>
      <c r="H5" s="5">
        <v>2.0</v>
      </c>
      <c r="I5" s="5">
        <v>1.0</v>
      </c>
      <c r="J5" s="5">
        <v>1.0</v>
      </c>
      <c r="K5" s="5">
        <v>1.0</v>
      </c>
      <c r="L5" s="5">
        <v>3.0</v>
      </c>
      <c r="M5" s="5">
        <v>3.0</v>
      </c>
      <c r="N5" s="5">
        <v>2.0</v>
      </c>
      <c r="O5" s="5">
        <v>3.0</v>
      </c>
      <c r="P5" s="5">
        <v>4.0</v>
      </c>
      <c r="Q5" s="5">
        <v>2.0</v>
      </c>
      <c r="R5" s="5">
        <v>3.0</v>
      </c>
      <c r="S5" s="7" t="s">
        <v>46</v>
      </c>
      <c r="T5" s="8" t="s">
        <v>47</v>
      </c>
      <c r="U5" s="5" t="s">
        <v>48</v>
      </c>
      <c r="V5" s="5" t="s">
        <v>49</v>
      </c>
      <c r="W5" s="9" t="s">
        <v>50</v>
      </c>
      <c r="X5" s="6"/>
      <c r="Y5" s="6"/>
      <c r="Z5" s="6"/>
    </row>
    <row r="6" ht="22.5" customHeight="1">
      <c r="A6" s="4">
        <v>46002.96917077547</v>
      </c>
      <c r="B6" s="5" t="s">
        <v>51</v>
      </c>
      <c r="C6" s="5" t="s">
        <v>52</v>
      </c>
      <c r="D6" s="5">
        <v>4.0</v>
      </c>
      <c r="E6" s="5">
        <v>4.0</v>
      </c>
      <c r="F6" s="5">
        <v>4.0</v>
      </c>
      <c r="G6" s="5">
        <v>4.0</v>
      </c>
      <c r="H6" s="5">
        <v>4.0</v>
      </c>
      <c r="I6" s="5">
        <v>4.0</v>
      </c>
      <c r="J6" s="5">
        <v>4.0</v>
      </c>
      <c r="K6" s="5">
        <v>4.0</v>
      </c>
      <c r="L6" s="5">
        <v>4.0</v>
      </c>
      <c r="M6" s="5">
        <v>4.0</v>
      </c>
      <c r="N6" s="5">
        <v>4.0</v>
      </c>
      <c r="O6" s="5">
        <v>4.0</v>
      </c>
      <c r="P6" s="5">
        <v>3.0</v>
      </c>
      <c r="Q6" s="5">
        <v>4.0</v>
      </c>
      <c r="R6" s="5">
        <v>4.0</v>
      </c>
      <c r="S6" s="5" t="s">
        <v>53</v>
      </c>
      <c r="T6" s="5" t="s">
        <v>54</v>
      </c>
      <c r="U6" s="5" t="s">
        <v>55</v>
      </c>
      <c r="V6" s="5" t="s">
        <v>56</v>
      </c>
      <c r="W6" s="5" t="s">
        <v>57</v>
      </c>
      <c r="X6" s="6"/>
      <c r="Y6" s="6"/>
      <c r="Z6" s="6"/>
    </row>
    <row r="7" ht="22.5" customHeight="1">
      <c r="A7" s="4">
        <v>46003.62933146991</v>
      </c>
      <c r="B7" s="5" t="s">
        <v>58</v>
      </c>
      <c r="C7" s="5" t="s">
        <v>52</v>
      </c>
      <c r="D7" s="5">
        <v>3.0</v>
      </c>
      <c r="E7" s="5">
        <v>3.0</v>
      </c>
      <c r="F7" s="5">
        <v>3.0</v>
      </c>
      <c r="G7" s="5">
        <v>3.0</v>
      </c>
      <c r="H7" s="5">
        <v>3.0</v>
      </c>
      <c r="I7" s="5">
        <v>2.0</v>
      </c>
      <c r="J7" s="5">
        <v>2.0</v>
      </c>
      <c r="K7" s="5">
        <v>2.0</v>
      </c>
      <c r="L7" s="5">
        <v>2.0</v>
      </c>
      <c r="M7" s="5">
        <v>3.0</v>
      </c>
      <c r="N7" s="5">
        <v>3.0</v>
      </c>
      <c r="O7" s="5">
        <v>3.0</v>
      </c>
      <c r="P7" s="5">
        <v>2.0</v>
      </c>
      <c r="Q7" s="5">
        <v>3.0</v>
      </c>
      <c r="R7" s="5">
        <v>2.0</v>
      </c>
      <c r="S7" s="5" t="s">
        <v>59</v>
      </c>
      <c r="T7" s="5" t="s">
        <v>59</v>
      </c>
      <c r="U7" s="5" t="s">
        <v>59</v>
      </c>
      <c r="V7" s="5" t="s">
        <v>59</v>
      </c>
      <c r="W7" s="5" t="s">
        <v>59</v>
      </c>
      <c r="X7" s="6"/>
      <c r="Y7" s="6"/>
      <c r="Z7" s="6"/>
    </row>
    <row r="8" ht="22.5" customHeight="1">
      <c r="A8" s="4">
        <v>46003.687543321765</v>
      </c>
      <c r="B8" s="5" t="s">
        <v>26</v>
      </c>
      <c r="C8" s="5" t="s">
        <v>52</v>
      </c>
      <c r="D8" s="5">
        <v>4.0</v>
      </c>
      <c r="E8" s="5">
        <v>4.0</v>
      </c>
      <c r="F8" s="5">
        <v>3.0</v>
      </c>
      <c r="G8" s="5">
        <v>3.0</v>
      </c>
      <c r="H8" s="5">
        <v>4.0</v>
      </c>
      <c r="I8" s="5">
        <v>4.0</v>
      </c>
      <c r="J8" s="5">
        <v>3.0</v>
      </c>
      <c r="K8" s="5">
        <v>4.0</v>
      </c>
      <c r="L8" s="5">
        <v>4.0</v>
      </c>
      <c r="M8" s="5">
        <v>4.0</v>
      </c>
      <c r="N8" s="5">
        <v>4.0</v>
      </c>
      <c r="O8" s="5">
        <v>3.0</v>
      </c>
      <c r="P8" s="5">
        <v>4.0</v>
      </c>
      <c r="Q8" s="5">
        <v>4.0</v>
      </c>
      <c r="R8" s="5">
        <v>4.0</v>
      </c>
      <c r="S8" s="5" t="s">
        <v>60</v>
      </c>
      <c r="T8" s="5" t="s">
        <v>61</v>
      </c>
      <c r="U8" s="5" t="s">
        <v>62</v>
      </c>
      <c r="V8" s="5" t="s">
        <v>62</v>
      </c>
      <c r="W8" s="5" t="s">
        <v>63</v>
      </c>
      <c r="X8" s="6"/>
      <c r="Y8" s="6"/>
      <c r="Z8" s="6"/>
    </row>
    <row r="9" ht="22.5" customHeight="1">
      <c r="A9" s="4">
        <v>46003.68957050926</v>
      </c>
      <c r="B9" s="5" t="s">
        <v>26</v>
      </c>
      <c r="C9" s="5" t="s">
        <v>52</v>
      </c>
      <c r="D9" s="5">
        <v>3.0</v>
      </c>
      <c r="E9" s="5">
        <v>3.0</v>
      </c>
      <c r="F9" s="5">
        <v>3.0</v>
      </c>
      <c r="G9" s="5">
        <v>3.0</v>
      </c>
      <c r="H9" s="5">
        <v>3.0</v>
      </c>
      <c r="I9" s="5">
        <v>2.0</v>
      </c>
      <c r="J9" s="5">
        <v>2.0</v>
      </c>
      <c r="K9" s="5">
        <v>2.0</v>
      </c>
      <c r="L9" s="5">
        <v>2.0</v>
      </c>
      <c r="M9" s="5">
        <v>2.0</v>
      </c>
      <c r="N9" s="5">
        <v>3.0</v>
      </c>
      <c r="O9" s="5">
        <v>3.0</v>
      </c>
      <c r="P9" s="5">
        <v>3.0</v>
      </c>
      <c r="Q9" s="5">
        <v>2.0</v>
      </c>
      <c r="R9" s="5">
        <v>2.0</v>
      </c>
      <c r="S9" s="5" t="s">
        <v>64</v>
      </c>
      <c r="T9" s="5" t="s">
        <v>65</v>
      </c>
      <c r="U9" s="5" t="s">
        <v>66</v>
      </c>
      <c r="V9" s="5" t="s">
        <v>67</v>
      </c>
      <c r="W9" s="5" t="s">
        <v>68</v>
      </c>
      <c r="X9" s="6"/>
      <c r="Y9" s="6"/>
      <c r="Z9" s="6"/>
    </row>
    <row r="10" ht="22.5" customHeight="1">
      <c r="A10" s="4">
        <v>46003.699085625005</v>
      </c>
      <c r="B10" s="5" t="s">
        <v>44</v>
      </c>
      <c r="C10" s="5" t="s">
        <v>52</v>
      </c>
      <c r="D10" s="5">
        <v>4.0</v>
      </c>
      <c r="E10" s="5">
        <v>4.0</v>
      </c>
      <c r="F10" s="5">
        <v>3.0</v>
      </c>
      <c r="G10" s="5">
        <v>2.0</v>
      </c>
      <c r="H10" s="5">
        <v>3.0</v>
      </c>
      <c r="I10" s="5">
        <v>3.0</v>
      </c>
      <c r="J10" s="5">
        <v>3.0</v>
      </c>
      <c r="K10" s="5">
        <v>3.0</v>
      </c>
      <c r="L10" s="5">
        <v>2.0</v>
      </c>
      <c r="M10" s="5">
        <v>4.0</v>
      </c>
      <c r="N10" s="5">
        <v>3.0</v>
      </c>
      <c r="O10" s="5">
        <v>3.0</v>
      </c>
      <c r="P10" s="5">
        <v>3.0</v>
      </c>
      <c r="Q10" s="5">
        <v>3.0</v>
      </c>
      <c r="R10" s="5">
        <v>3.0</v>
      </c>
      <c r="S10" s="5" t="s">
        <v>69</v>
      </c>
      <c r="T10" s="5" t="s">
        <v>70</v>
      </c>
      <c r="U10" s="10" t="s">
        <v>71</v>
      </c>
      <c r="V10" s="5" t="s">
        <v>72</v>
      </c>
      <c r="W10" s="5" t="s">
        <v>73</v>
      </c>
      <c r="X10" s="6"/>
      <c r="Y10" s="6"/>
      <c r="Z10" s="6"/>
    </row>
    <row r="11" ht="22.5" customHeight="1">
      <c r="A11" s="4">
        <v>46003.70247467593</v>
      </c>
      <c r="B11" s="5" t="s">
        <v>44</v>
      </c>
      <c r="C11" s="5" t="s">
        <v>52</v>
      </c>
      <c r="D11" s="5">
        <v>4.0</v>
      </c>
      <c r="E11" s="5">
        <v>3.0</v>
      </c>
      <c r="F11" s="5">
        <v>4.0</v>
      </c>
      <c r="G11" s="5">
        <v>4.0</v>
      </c>
      <c r="H11" s="5">
        <v>3.0</v>
      </c>
      <c r="I11" s="5">
        <v>4.0</v>
      </c>
      <c r="J11" s="5">
        <v>4.0</v>
      </c>
      <c r="K11" s="5">
        <v>3.0</v>
      </c>
      <c r="L11" s="5">
        <v>4.0</v>
      </c>
      <c r="M11" s="5">
        <v>4.0</v>
      </c>
      <c r="N11" s="5">
        <v>4.0</v>
      </c>
      <c r="O11" s="5">
        <v>4.0</v>
      </c>
      <c r="P11" s="5">
        <v>4.0</v>
      </c>
      <c r="Q11" s="5">
        <v>3.0</v>
      </c>
      <c r="R11" s="5">
        <v>3.0</v>
      </c>
      <c r="S11" s="5" t="s">
        <v>59</v>
      </c>
      <c r="T11" s="5" t="s">
        <v>59</v>
      </c>
      <c r="U11" s="5" t="s">
        <v>59</v>
      </c>
      <c r="V11" s="5" t="s">
        <v>59</v>
      </c>
      <c r="W11" s="5" t="s">
        <v>59</v>
      </c>
      <c r="X11" s="6"/>
      <c r="Y11" s="6"/>
      <c r="Z11" s="6"/>
    </row>
    <row r="12" ht="22.5" customHeight="1">
      <c r="A12" s="4">
        <v>46003.71252064814</v>
      </c>
      <c r="B12" s="5" t="s">
        <v>44</v>
      </c>
      <c r="C12" s="5" t="s">
        <v>52</v>
      </c>
      <c r="D12" s="5">
        <v>3.0</v>
      </c>
      <c r="E12" s="5">
        <v>3.0</v>
      </c>
      <c r="F12" s="5">
        <v>3.0</v>
      </c>
      <c r="G12" s="5">
        <v>4.0</v>
      </c>
      <c r="H12" s="5">
        <v>3.0</v>
      </c>
      <c r="I12" s="5">
        <v>4.0</v>
      </c>
      <c r="J12" s="5">
        <v>4.0</v>
      </c>
      <c r="K12" s="5">
        <v>4.0</v>
      </c>
      <c r="L12" s="5">
        <v>4.0</v>
      </c>
      <c r="M12" s="5">
        <v>4.0</v>
      </c>
      <c r="N12" s="5">
        <v>4.0</v>
      </c>
      <c r="O12" s="5">
        <v>4.0</v>
      </c>
      <c r="P12" s="5">
        <v>3.0</v>
      </c>
      <c r="Q12" s="5">
        <v>4.0</v>
      </c>
      <c r="R12" s="5">
        <v>4.0</v>
      </c>
      <c r="S12" s="5" t="s">
        <v>74</v>
      </c>
      <c r="T12" s="5" t="s">
        <v>62</v>
      </c>
      <c r="U12" s="5" t="s">
        <v>75</v>
      </c>
      <c r="V12" s="5" t="s">
        <v>76</v>
      </c>
      <c r="W12" s="5" t="s">
        <v>62</v>
      </c>
      <c r="X12" s="6"/>
      <c r="Y12" s="6"/>
      <c r="Z12" s="6"/>
    </row>
    <row r="13" ht="22.5" customHeight="1">
      <c r="A13" s="4">
        <v>46006.54088195602</v>
      </c>
      <c r="B13" s="5" t="s">
        <v>26</v>
      </c>
      <c r="C13" s="5" t="s">
        <v>52</v>
      </c>
      <c r="D13" s="5">
        <v>4.0</v>
      </c>
      <c r="E13" s="5">
        <v>4.0</v>
      </c>
      <c r="F13" s="5">
        <v>3.0</v>
      </c>
      <c r="G13" s="5">
        <v>4.0</v>
      </c>
      <c r="H13" s="5">
        <v>4.0</v>
      </c>
      <c r="I13" s="5">
        <v>4.0</v>
      </c>
      <c r="J13" s="5">
        <v>3.0</v>
      </c>
      <c r="K13" s="5">
        <v>4.0</v>
      </c>
      <c r="L13" s="5">
        <v>4.0</v>
      </c>
      <c r="M13" s="5">
        <v>4.0</v>
      </c>
      <c r="N13" s="5">
        <v>3.0</v>
      </c>
      <c r="O13" s="5">
        <v>4.0</v>
      </c>
      <c r="P13" s="5">
        <v>4.0</v>
      </c>
      <c r="Q13" s="5">
        <v>4.0</v>
      </c>
      <c r="R13" s="5">
        <v>4.0</v>
      </c>
      <c r="S13" s="5" t="s">
        <v>77</v>
      </c>
      <c r="T13" s="5" t="s">
        <v>36</v>
      </c>
      <c r="U13" s="5" t="s">
        <v>35</v>
      </c>
      <c r="V13" s="5" t="s">
        <v>62</v>
      </c>
      <c r="W13" s="5" t="s">
        <v>78</v>
      </c>
      <c r="X13" s="6"/>
      <c r="Y13" s="6"/>
      <c r="Z13" s="6"/>
    </row>
    <row r="14" ht="22.5" customHeight="1">
      <c r="A14" s="4">
        <v>46006.55402931713</v>
      </c>
      <c r="B14" s="5" t="s">
        <v>26</v>
      </c>
      <c r="C14" s="5" t="s">
        <v>52</v>
      </c>
      <c r="D14" s="5">
        <v>3.0</v>
      </c>
      <c r="E14" s="5">
        <v>4.0</v>
      </c>
      <c r="F14" s="5">
        <v>3.0</v>
      </c>
      <c r="G14" s="5">
        <v>4.0</v>
      </c>
      <c r="H14" s="5">
        <v>4.0</v>
      </c>
      <c r="I14" s="5">
        <v>4.0</v>
      </c>
      <c r="J14" s="5">
        <v>3.0</v>
      </c>
      <c r="K14" s="5">
        <v>4.0</v>
      </c>
      <c r="L14" s="5">
        <v>4.0</v>
      </c>
      <c r="M14" s="5">
        <v>4.0</v>
      </c>
      <c r="N14" s="5">
        <v>4.0</v>
      </c>
      <c r="O14" s="5">
        <v>4.0</v>
      </c>
      <c r="P14" s="5">
        <v>4.0</v>
      </c>
      <c r="Q14" s="5">
        <v>4.0</v>
      </c>
      <c r="R14" s="5">
        <v>4.0</v>
      </c>
      <c r="S14" s="5" t="s">
        <v>79</v>
      </c>
      <c r="T14" s="5" t="s">
        <v>80</v>
      </c>
      <c r="U14" s="5" t="s">
        <v>81</v>
      </c>
      <c r="V14" s="5" t="s">
        <v>80</v>
      </c>
      <c r="W14" s="5" t="s">
        <v>62</v>
      </c>
      <c r="X14" s="6"/>
      <c r="Y14" s="6"/>
      <c r="Z14" s="6"/>
    </row>
    <row r="15" ht="22.5" customHeight="1">
      <c r="A15" s="4">
        <v>46006.62238045139</v>
      </c>
      <c r="B15" s="5" t="s">
        <v>82</v>
      </c>
      <c r="C15" s="5" t="s">
        <v>52</v>
      </c>
      <c r="D15" s="5">
        <v>4.0</v>
      </c>
      <c r="E15" s="5">
        <v>4.0</v>
      </c>
      <c r="F15" s="5">
        <v>3.0</v>
      </c>
      <c r="G15" s="5">
        <v>4.0</v>
      </c>
      <c r="H15" s="5">
        <v>4.0</v>
      </c>
      <c r="I15" s="5">
        <v>4.0</v>
      </c>
      <c r="J15" s="5">
        <v>3.0</v>
      </c>
      <c r="K15" s="5">
        <v>3.0</v>
      </c>
      <c r="L15" s="5">
        <v>4.0</v>
      </c>
      <c r="M15" s="5">
        <v>4.0</v>
      </c>
      <c r="N15" s="5">
        <v>4.0</v>
      </c>
      <c r="O15" s="5">
        <v>4.0</v>
      </c>
      <c r="P15" s="5">
        <v>4.0</v>
      </c>
      <c r="Q15" s="5">
        <v>3.0</v>
      </c>
      <c r="R15" s="5">
        <v>3.0</v>
      </c>
      <c r="S15" s="5" t="s">
        <v>62</v>
      </c>
      <c r="T15" s="5" t="s">
        <v>62</v>
      </c>
      <c r="U15" s="5" t="s">
        <v>62</v>
      </c>
      <c r="V15" s="5" t="s">
        <v>62</v>
      </c>
      <c r="W15" s="5" t="s">
        <v>62</v>
      </c>
      <c r="X15" s="6"/>
      <c r="Y15" s="6"/>
      <c r="Z15" s="6"/>
    </row>
    <row r="16" ht="22.5" customHeight="1">
      <c r="A16" s="4">
        <v>46006.62341071759</v>
      </c>
      <c r="B16" s="5" t="s">
        <v>82</v>
      </c>
      <c r="C16" s="5" t="s">
        <v>52</v>
      </c>
      <c r="D16" s="5">
        <v>4.0</v>
      </c>
      <c r="E16" s="5">
        <v>4.0</v>
      </c>
      <c r="F16" s="5">
        <v>3.0</v>
      </c>
      <c r="G16" s="5">
        <v>3.0</v>
      </c>
      <c r="H16" s="5">
        <v>4.0</v>
      </c>
      <c r="I16" s="5">
        <v>3.0</v>
      </c>
      <c r="J16" s="5">
        <v>4.0</v>
      </c>
      <c r="K16" s="5">
        <v>4.0</v>
      </c>
      <c r="L16" s="5">
        <v>3.0</v>
      </c>
      <c r="M16" s="5">
        <v>4.0</v>
      </c>
      <c r="N16" s="5">
        <v>4.0</v>
      </c>
      <c r="O16" s="5">
        <v>3.0</v>
      </c>
      <c r="P16" s="5">
        <v>3.0</v>
      </c>
      <c r="Q16" s="5">
        <v>4.0</v>
      </c>
      <c r="R16" s="5">
        <v>4.0</v>
      </c>
      <c r="S16" s="5" t="s">
        <v>83</v>
      </c>
      <c r="T16" s="5" t="s">
        <v>84</v>
      </c>
      <c r="U16" s="5" t="s">
        <v>84</v>
      </c>
      <c r="V16" s="5" t="s">
        <v>84</v>
      </c>
      <c r="W16" s="5" t="s">
        <v>84</v>
      </c>
      <c r="X16" s="6"/>
      <c r="Y16" s="6"/>
      <c r="Z16" s="6"/>
    </row>
    <row r="17" ht="22.5" customHeight="1">
      <c r="A17" s="4">
        <v>46006.623934351854</v>
      </c>
      <c r="B17" s="5" t="s">
        <v>82</v>
      </c>
      <c r="C17" s="5" t="s">
        <v>52</v>
      </c>
      <c r="D17" s="5">
        <v>3.0</v>
      </c>
      <c r="E17" s="5">
        <v>3.0</v>
      </c>
      <c r="F17" s="5">
        <v>4.0</v>
      </c>
      <c r="G17" s="5">
        <v>3.0</v>
      </c>
      <c r="H17" s="5">
        <v>4.0</v>
      </c>
      <c r="I17" s="5">
        <v>3.0</v>
      </c>
      <c r="J17" s="5">
        <v>4.0</v>
      </c>
      <c r="K17" s="5">
        <v>3.0</v>
      </c>
      <c r="L17" s="5">
        <v>3.0</v>
      </c>
      <c r="M17" s="5">
        <v>4.0</v>
      </c>
      <c r="N17" s="5">
        <v>4.0</v>
      </c>
      <c r="O17" s="5">
        <v>3.0</v>
      </c>
      <c r="P17" s="5">
        <v>3.0</v>
      </c>
      <c r="Q17" s="5">
        <v>4.0</v>
      </c>
      <c r="R17" s="5">
        <v>4.0</v>
      </c>
      <c r="S17" s="5" t="s">
        <v>62</v>
      </c>
      <c r="T17" s="5" t="s">
        <v>62</v>
      </c>
      <c r="U17" s="5" t="s">
        <v>62</v>
      </c>
      <c r="V17" s="5" t="s">
        <v>62</v>
      </c>
      <c r="W17" s="5" t="s">
        <v>62</v>
      </c>
      <c r="X17" s="6"/>
      <c r="Y17" s="6"/>
      <c r="Z17" s="6"/>
    </row>
    <row r="18" ht="22.5" customHeight="1">
      <c r="A18" s="4">
        <v>46006.624333506945</v>
      </c>
      <c r="B18" s="5" t="s">
        <v>82</v>
      </c>
      <c r="C18" s="5" t="s">
        <v>52</v>
      </c>
      <c r="D18" s="5">
        <v>4.0</v>
      </c>
      <c r="E18" s="5">
        <v>4.0</v>
      </c>
      <c r="F18" s="5">
        <v>3.0</v>
      </c>
      <c r="G18" s="5">
        <v>3.0</v>
      </c>
      <c r="H18" s="5">
        <v>4.0</v>
      </c>
      <c r="I18" s="5">
        <v>4.0</v>
      </c>
      <c r="J18" s="5">
        <v>4.0</v>
      </c>
      <c r="K18" s="5">
        <v>1.0</v>
      </c>
      <c r="L18" s="5">
        <v>4.0</v>
      </c>
      <c r="M18" s="5">
        <v>3.0</v>
      </c>
      <c r="N18" s="5">
        <v>3.0</v>
      </c>
      <c r="O18" s="5">
        <v>4.0</v>
      </c>
      <c r="P18" s="5">
        <v>4.0</v>
      </c>
      <c r="Q18" s="5">
        <v>4.0</v>
      </c>
      <c r="R18" s="5">
        <v>4.0</v>
      </c>
      <c r="S18" s="5" t="s">
        <v>85</v>
      </c>
      <c r="T18" s="5" t="s">
        <v>62</v>
      </c>
      <c r="U18" s="5" t="s">
        <v>62</v>
      </c>
      <c r="V18" s="5" t="s">
        <v>62</v>
      </c>
      <c r="W18" s="5" t="s">
        <v>62</v>
      </c>
      <c r="X18" s="6"/>
      <c r="Y18" s="6"/>
      <c r="Z18" s="6"/>
    </row>
    <row r="19" ht="22.5" customHeight="1">
      <c r="A19" s="4">
        <v>46006.62752425926</v>
      </c>
      <c r="B19" s="5" t="s">
        <v>82</v>
      </c>
      <c r="C19" s="5" t="s">
        <v>52</v>
      </c>
      <c r="D19" s="5">
        <v>3.0</v>
      </c>
      <c r="E19" s="5">
        <v>3.0</v>
      </c>
      <c r="F19" s="5">
        <v>3.0</v>
      </c>
      <c r="G19" s="5">
        <v>3.0</v>
      </c>
      <c r="H19" s="5">
        <v>3.0</v>
      </c>
      <c r="I19" s="5">
        <v>3.0</v>
      </c>
      <c r="J19" s="5">
        <v>4.0</v>
      </c>
      <c r="K19" s="5">
        <v>2.0</v>
      </c>
      <c r="L19" s="5">
        <v>3.0</v>
      </c>
      <c r="M19" s="5">
        <v>3.0</v>
      </c>
      <c r="N19" s="5">
        <v>3.0</v>
      </c>
      <c r="O19" s="5">
        <v>3.0</v>
      </c>
      <c r="P19" s="5">
        <v>4.0</v>
      </c>
      <c r="Q19" s="5">
        <v>4.0</v>
      </c>
      <c r="R19" s="5">
        <v>4.0</v>
      </c>
      <c r="S19" s="5" t="s">
        <v>86</v>
      </c>
      <c r="T19" s="5" t="s">
        <v>87</v>
      </c>
      <c r="U19" s="5" t="s">
        <v>88</v>
      </c>
      <c r="V19" s="5" t="s">
        <v>84</v>
      </c>
      <c r="W19" s="5" t="s">
        <v>84</v>
      </c>
      <c r="X19" s="6"/>
      <c r="Y19" s="6"/>
      <c r="Z19" s="6"/>
    </row>
    <row r="20" ht="22.5" customHeight="1">
      <c r="A20" s="4">
        <v>46006.62991662037</v>
      </c>
      <c r="B20" s="5" t="s">
        <v>82</v>
      </c>
      <c r="C20" s="5" t="s">
        <v>52</v>
      </c>
      <c r="D20" s="5">
        <v>3.0</v>
      </c>
      <c r="E20" s="5">
        <v>4.0</v>
      </c>
      <c r="F20" s="5">
        <v>3.0</v>
      </c>
      <c r="G20" s="5">
        <v>3.0</v>
      </c>
      <c r="H20" s="5">
        <v>3.0</v>
      </c>
      <c r="I20" s="5">
        <v>3.0</v>
      </c>
      <c r="J20" s="5">
        <v>2.0</v>
      </c>
      <c r="K20" s="5">
        <v>4.0</v>
      </c>
      <c r="L20" s="5">
        <v>4.0</v>
      </c>
      <c r="M20" s="5">
        <v>4.0</v>
      </c>
      <c r="N20" s="5">
        <v>3.0</v>
      </c>
      <c r="O20" s="5">
        <v>3.0</v>
      </c>
      <c r="P20" s="5">
        <v>4.0</v>
      </c>
      <c r="Q20" s="5">
        <v>3.0</v>
      </c>
      <c r="R20" s="5">
        <v>4.0</v>
      </c>
      <c r="S20" s="10" t="s">
        <v>89</v>
      </c>
      <c r="T20" s="5" t="s">
        <v>59</v>
      </c>
      <c r="U20" s="5" t="s">
        <v>59</v>
      </c>
      <c r="V20" s="5" t="s">
        <v>90</v>
      </c>
      <c r="W20" s="5" t="s">
        <v>59</v>
      </c>
      <c r="X20" s="6"/>
      <c r="Y20" s="6"/>
      <c r="Z20" s="6"/>
    </row>
    <row r="21" ht="22.5" customHeight="1">
      <c r="A21" s="4">
        <v>46006.63157056713</v>
      </c>
      <c r="B21" s="5" t="s">
        <v>82</v>
      </c>
      <c r="C21" s="5" t="s">
        <v>52</v>
      </c>
      <c r="D21" s="5">
        <v>4.0</v>
      </c>
      <c r="E21" s="5">
        <v>3.0</v>
      </c>
      <c r="F21" s="5">
        <v>4.0</v>
      </c>
      <c r="G21" s="5">
        <v>4.0</v>
      </c>
      <c r="H21" s="5">
        <v>3.0</v>
      </c>
      <c r="I21" s="5">
        <v>4.0</v>
      </c>
      <c r="J21" s="5">
        <v>4.0</v>
      </c>
      <c r="K21" s="5">
        <v>3.0</v>
      </c>
      <c r="L21" s="5">
        <v>4.0</v>
      </c>
      <c r="M21" s="5">
        <v>4.0</v>
      </c>
      <c r="N21" s="5">
        <v>4.0</v>
      </c>
      <c r="O21" s="5">
        <v>4.0</v>
      </c>
      <c r="P21" s="5">
        <v>4.0</v>
      </c>
      <c r="Q21" s="5">
        <v>3.0</v>
      </c>
      <c r="R21" s="5">
        <v>3.0</v>
      </c>
      <c r="S21" s="5" t="s">
        <v>91</v>
      </c>
      <c r="T21" s="5" t="s">
        <v>59</v>
      </c>
      <c r="U21" s="5" t="s">
        <v>59</v>
      </c>
      <c r="V21" s="5" t="s">
        <v>59</v>
      </c>
      <c r="W21" s="5" t="s">
        <v>59</v>
      </c>
      <c r="X21" s="6"/>
      <c r="Y21" s="6"/>
      <c r="Z21" s="6"/>
    </row>
    <row r="22" ht="22.5" customHeight="1">
      <c r="A22" s="4">
        <v>46006.63579331018</v>
      </c>
      <c r="B22" s="5" t="s">
        <v>82</v>
      </c>
      <c r="C22" s="5" t="s">
        <v>52</v>
      </c>
      <c r="D22" s="5">
        <v>4.0</v>
      </c>
      <c r="E22" s="5">
        <v>4.0</v>
      </c>
      <c r="F22" s="5">
        <v>4.0</v>
      </c>
      <c r="G22" s="5">
        <v>4.0</v>
      </c>
      <c r="H22" s="5">
        <v>4.0</v>
      </c>
      <c r="I22" s="5">
        <v>4.0</v>
      </c>
      <c r="J22" s="5">
        <v>4.0</v>
      </c>
      <c r="K22" s="5">
        <v>4.0</v>
      </c>
      <c r="L22" s="5">
        <v>4.0</v>
      </c>
      <c r="M22" s="5">
        <v>4.0</v>
      </c>
      <c r="N22" s="5">
        <v>4.0</v>
      </c>
      <c r="O22" s="5">
        <v>4.0</v>
      </c>
      <c r="P22" s="5">
        <v>4.0</v>
      </c>
      <c r="Q22" s="5">
        <v>4.0</v>
      </c>
      <c r="R22" s="5">
        <v>4.0</v>
      </c>
      <c r="S22" s="5" t="s">
        <v>92</v>
      </c>
      <c r="T22" s="5" t="s">
        <v>80</v>
      </c>
      <c r="U22" s="5" t="s">
        <v>80</v>
      </c>
      <c r="V22" s="5" t="s">
        <v>93</v>
      </c>
      <c r="W22" s="5" t="s">
        <v>62</v>
      </c>
      <c r="X22" s="6"/>
      <c r="Y22" s="6"/>
      <c r="Z22" s="6"/>
    </row>
    <row r="23" ht="22.5" customHeight="1">
      <c r="A23" s="4">
        <v>46006.68021197917</v>
      </c>
      <c r="B23" s="5" t="s">
        <v>82</v>
      </c>
      <c r="C23" s="5" t="s">
        <v>52</v>
      </c>
      <c r="D23" s="5">
        <v>2.0</v>
      </c>
      <c r="E23" s="5">
        <v>3.0</v>
      </c>
      <c r="F23" s="5">
        <v>2.0</v>
      </c>
      <c r="G23" s="5">
        <v>2.0</v>
      </c>
      <c r="H23" s="5">
        <v>2.0</v>
      </c>
      <c r="I23" s="5">
        <v>2.0</v>
      </c>
      <c r="J23" s="5">
        <v>2.0</v>
      </c>
      <c r="K23" s="5">
        <v>2.0</v>
      </c>
      <c r="L23" s="5">
        <v>2.0</v>
      </c>
      <c r="M23" s="5">
        <v>2.0</v>
      </c>
      <c r="N23" s="5">
        <v>2.0</v>
      </c>
      <c r="O23" s="5">
        <v>2.0</v>
      </c>
      <c r="P23" s="5">
        <v>2.0</v>
      </c>
      <c r="Q23" s="5">
        <v>2.0</v>
      </c>
      <c r="R23" s="5">
        <v>2.0</v>
      </c>
      <c r="S23" s="5" t="s">
        <v>94</v>
      </c>
      <c r="T23" s="5" t="s">
        <v>94</v>
      </c>
      <c r="U23" s="5" t="s">
        <v>94</v>
      </c>
      <c r="V23" s="5" t="s">
        <v>94</v>
      </c>
      <c r="W23" s="5" t="s">
        <v>94</v>
      </c>
      <c r="X23" s="6"/>
      <c r="Y23" s="6"/>
      <c r="Z23" s="6"/>
    </row>
    <row r="24" ht="22.5" customHeight="1">
      <c r="A24" s="4">
        <v>46006.71044355324</v>
      </c>
      <c r="B24" s="5" t="s">
        <v>82</v>
      </c>
      <c r="C24" s="5" t="s">
        <v>52</v>
      </c>
      <c r="D24" s="5">
        <v>4.0</v>
      </c>
      <c r="E24" s="5">
        <v>2.0</v>
      </c>
      <c r="F24" s="5">
        <v>2.0</v>
      </c>
      <c r="G24" s="5">
        <v>2.0</v>
      </c>
      <c r="H24" s="5">
        <v>2.0</v>
      </c>
      <c r="I24" s="5">
        <v>2.0</v>
      </c>
      <c r="J24" s="5">
        <v>2.0</v>
      </c>
      <c r="K24" s="5">
        <v>2.0</v>
      </c>
      <c r="L24" s="5">
        <v>2.0</v>
      </c>
      <c r="M24" s="5">
        <v>2.0</v>
      </c>
      <c r="N24" s="5">
        <v>2.0</v>
      </c>
      <c r="O24" s="5">
        <v>2.0</v>
      </c>
      <c r="P24" s="5">
        <v>3.0</v>
      </c>
      <c r="Q24" s="5">
        <v>2.0</v>
      </c>
      <c r="R24" s="5">
        <v>2.0</v>
      </c>
      <c r="S24" s="5" t="s">
        <v>95</v>
      </c>
      <c r="T24" s="5" t="s">
        <v>95</v>
      </c>
      <c r="U24" s="5" t="s">
        <v>95</v>
      </c>
      <c r="V24" s="5" t="s">
        <v>95</v>
      </c>
      <c r="W24" s="5" t="s">
        <v>95</v>
      </c>
      <c r="X24" s="6"/>
      <c r="Y24" s="6"/>
      <c r="Z24" s="6"/>
    </row>
    <row r="25" ht="22.5" customHeight="1">
      <c r="A25" s="4">
        <v>46006.77952783565</v>
      </c>
      <c r="B25" s="5" t="s">
        <v>44</v>
      </c>
      <c r="C25" s="5" t="s">
        <v>52</v>
      </c>
      <c r="D25" s="5">
        <v>3.0</v>
      </c>
      <c r="E25" s="5">
        <v>3.0</v>
      </c>
      <c r="F25" s="5">
        <v>3.0</v>
      </c>
      <c r="G25" s="5">
        <v>2.0</v>
      </c>
      <c r="H25" s="5">
        <v>3.0</v>
      </c>
      <c r="I25" s="5">
        <v>3.0</v>
      </c>
      <c r="J25" s="5">
        <v>2.0</v>
      </c>
      <c r="K25" s="5">
        <v>3.0</v>
      </c>
      <c r="L25" s="5">
        <v>3.0</v>
      </c>
      <c r="M25" s="5">
        <v>3.0</v>
      </c>
      <c r="N25" s="5">
        <v>3.0</v>
      </c>
      <c r="O25" s="5">
        <v>3.0</v>
      </c>
      <c r="P25" s="5">
        <v>3.0</v>
      </c>
      <c r="Q25" s="5">
        <v>3.0</v>
      </c>
      <c r="R25" s="5">
        <v>3.0</v>
      </c>
      <c r="S25" s="11" t="s">
        <v>96</v>
      </c>
      <c r="T25" s="5" t="s">
        <v>80</v>
      </c>
      <c r="U25" s="5" t="s">
        <v>62</v>
      </c>
      <c r="V25" s="12" t="s">
        <v>97</v>
      </c>
      <c r="W25" s="5" t="s">
        <v>62</v>
      </c>
      <c r="X25" s="6"/>
      <c r="Y25" s="6"/>
      <c r="Z25" s="6"/>
    </row>
    <row r="26" ht="22.5" customHeight="1">
      <c r="A26" s="4">
        <v>46006.8087184375</v>
      </c>
      <c r="B26" s="5" t="s">
        <v>44</v>
      </c>
      <c r="C26" s="5" t="s">
        <v>52</v>
      </c>
      <c r="D26" s="5">
        <v>3.0</v>
      </c>
      <c r="E26" s="5">
        <v>3.0</v>
      </c>
      <c r="F26" s="5">
        <v>2.0</v>
      </c>
      <c r="G26" s="5">
        <v>2.0</v>
      </c>
      <c r="H26" s="5">
        <v>3.0</v>
      </c>
      <c r="I26" s="5">
        <v>2.0</v>
      </c>
      <c r="J26" s="5">
        <v>3.0</v>
      </c>
      <c r="K26" s="5">
        <v>2.0</v>
      </c>
      <c r="L26" s="5">
        <v>2.0</v>
      </c>
      <c r="M26" s="5">
        <v>3.0</v>
      </c>
      <c r="N26" s="5">
        <v>4.0</v>
      </c>
      <c r="O26" s="5">
        <v>3.0</v>
      </c>
      <c r="P26" s="5">
        <v>4.0</v>
      </c>
      <c r="Q26" s="5">
        <v>3.0</v>
      </c>
      <c r="R26" s="5">
        <v>3.0</v>
      </c>
      <c r="S26" s="5" t="s">
        <v>98</v>
      </c>
      <c r="T26" s="5" t="s">
        <v>62</v>
      </c>
      <c r="U26" s="5" t="s">
        <v>99</v>
      </c>
      <c r="V26" s="5" t="s">
        <v>100</v>
      </c>
      <c r="W26" s="5" t="s">
        <v>101</v>
      </c>
      <c r="X26" s="6"/>
      <c r="Y26" s="6"/>
      <c r="Z26" s="6"/>
    </row>
    <row r="27" ht="22.5" customHeight="1">
      <c r="A27" s="4">
        <v>46006.839510185186</v>
      </c>
      <c r="B27" s="5" t="s">
        <v>51</v>
      </c>
      <c r="C27" s="5" t="s">
        <v>52</v>
      </c>
      <c r="D27" s="5">
        <v>3.0</v>
      </c>
      <c r="E27" s="5">
        <v>4.0</v>
      </c>
      <c r="F27" s="5">
        <v>4.0</v>
      </c>
      <c r="G27" s="5">
        <v>3.0</v>
      </c>
      <c r="H27" s="5">
        <v>4.0</v>
      </c>
      <c r="I27" s="5">
        <v>3.0</v>
      </c>
      <c r="J27" s="5">
        <v>3.0</v>
      </c>
      <c r="K27" s="5">
        <v>4.0</v>
      </c>
      <c r="L27" s="5">
        <v>4.0</v>
      </c>
      <c r="M27" s="5">
        <v>4.0</v>
      </c>
      <c r="N27" s="5">
        <v>3.0</v>
      </c>
      <c r="O27" s="5">
        <v>4.0</v>
      </c>
      <c r="P27" s="5">
        <v>3.0</v>
      </c>
      <c r="Q27" s="5">
        <v>3.0</v>
      </c>
      <c r="R27" s="5">
        <v>4.0</v>
      </c>
      <c r="S27" s="5" t="s">
        <v>102</v>
      </c>
      <c r="T27" s="13" t="s">
        <v>103</v>
      </c>
      <c r="U27" s="5" t="s">
        <v>104</v>
      </c>
      <c r="V27" s="13" t="s">
        <v>105</v>
      </c>
      <c r="W27" s="5" t="s">
        <v>106</v>
      </c>
      <c r="X27" s="6"/>
      <c r="Y27" s="6"/>
      <c r="Z27" s="6"/>
    </row>
    <row r="28" ht="22.5" customHeight="1">
      <c r="A28" s="4">
        <v>46007.28961627315</v>
      </c>
      <c r="B28" s="5" t="s">
        <v>26</v>
      </c>
      <c r="C28" s="5" t="s">
        <v>52</v>
      </c>
      <c r="D28" s="5">
        <v>3.0</v>
      </c>
      <c r="E28" s="5">
        <v>4.0</v>
      </c>
      <c r="F28" s="5">
        <v>4.0</v>
      </c>
      <c r="G28" s="5">
        <v>3.0</v>
      </c>
      <c r="H28" s="5">
        <v>4.0</v>
      </c>
      <c r="I28" s="5">
        <v>4.0</v>
      </c>
      <c r="J28" s="5">
        <v>3.0</v>
      </c>
      <c r="K28" s="5">
        <v>4.0</v>
      </c>
      <c r="L28" s="5">
        <v>4.0</v>
      </c>
      <c r="M28" s="5">
        <v>4.0</v>
      </c>
      <c r="N28" s="5">
        <v>4.0</v>
      </c>
      <c r="O28" s="5">
        <v>3.0</v>
      </c>
      <c r="P28" s="5">
        <v>4.0</v>
      </c>
      <c r="Q28" s="5">
        <v>4.0</v>
      </c>
      <c r="R28" s="5">
        <v>3.0</v>
      </c>
      <c r="S28" s="5" t="s">
        <v>92</v>
      </c>
      <c r="T28" s="5" t="s">
        <v>62</v>
      </c>
      <c r="U28" s="5" t="s">
        <v>62</v>
      </c>
      <c r="V28" s="5" t="s">
        <v>62</v>
      </c>
      <c r="W28" s="5" t="s">
        <v>62</v>
      </c>
      <c r="X28" s="6"/>
      <c r="Y28" s="6"/>
      <c r="Z28" s="6"/>
    </row>
    <row r="29" ht="22.5" customHeight="1">
      <c r="A29" s="4">
        <v>46007.562981041665</v>
      </c>
      <c r="B29" s="5" t="s">
        <v>44</v>
      </c>
      <c r="C29" s="5" t="s">
        <v>52</v>
      </c>
      <c r="D29" s="5">
        <v>4.0</v>
      </c>
      <c r="E29" s="5">
        <v>4.0</v>
      </c>
      <c r="F29" s="5">
        <v>4.0</v>
      </c>
      <c r="G29" s="5">
        <v>4.0</v>
      </c>
      <c r="H29" s="5">
        <v>4.0</v>
      </c>
      <c r="I29" s="5">
        <v>4.0</v>
      </c>
      <c r="J29" s="5">
        <v>4.0</v>
      </c>
      <c r="K29" s="5">
        <v>2.0</v>
      </c>
      <c r="L29" s="5">
        <v>4.0</v>
      </c>
      <c r="M29" s="5">
        <v>2.0</v>
      </c>
      <c r="N29" s="5">
        <v>4.0</v>
      </c>
      <c r="O29" s="5">
        <v>4.0</v>
      </c>
      <c r="P29" s="5">
        <v>4.0</v>
      </c>
      <c r="Q29" s="5">
        <v>4.0</v>
      </c>
      <c r="R29" s="5">
        <v>4.0</v>
      </c>
      <c r="S29" s="5" t="s">
        <v>107</v>
      </c>
      <c r="T29" s="5" t="s">
        <v>108</v>
      </c>
      <c r="U29" s="5" t="s">
        <v>109</v>
      </c>
      <c r="V29" s="5" t="s">
        <v>110</v>
      </c>
      <c r="W29" s="5" t="s">
        <v>111</v>
      </c>
      <c r="X29" s="6"/>
      <c r="Y29" s="6"/>
      <c r="Z29" s="6"/>
    </row>
    <row r="30" ht="22.5" customHeight="1">
      <c r="A30" s="4">
        <v>46007.56477550926</v>
      </c>
      <c r="B30" s="5" t="s">
        <v>82</v>
      </c>
      <c r="C30" s="5" t="s">
        <v>52</v>
      </c>
      <c r="D30" s="5">
        <v>3.0</v>
      </c>
      <c r="E30" s="5">
        <v>3.0</v>
      </c>
      <c r="F30" s="5">
        <v>3.0</v>
      </c>
      <c r="G30" s="5">
        <v>4.0</v>
      </c>
      <c r="H30" s="5">
        <v>4.0</v>
      </c>
      <c r="I30" s="5">
        <v>4.0</v>
      </c>
      <c r="J30" s="5">
        <v>3.0</v>
      </c>
      <c r="K30" s="5">
        <v>4.0</v>
      </c>
      <c r="L30" s="5">
        <v>3.0</v>
      </c>
      <c r="M30" s="5">
        <v>3.0</v>
      </c>
      <c r="N30" s="5">
        <v>4.0</v>
      </c>
      <c r="O30" s="5">
        <v>3.0</v>
      </c>
      <c r="P30" s="5">
        <v>4.0</v>
      </c>
      <c r="Q30" s="5">
        <v>4.0</v>
      </c>
      <c r="R30" s="5">
        <v>3.0</v>
      </c>
      <c r="S30" s="5" t="s">
        <v>92</v>
      </c>
      <c r="T30" s="5" t="s">
        <v>84</v>
      </c>
      <c r="U30" s="5" t="s">
        <v>84</v>
      </c>
      <c r="V30" s="5" t="s">
        <v>84</v>
      </c>
      <c r="W30" s="5" t="s">
        <v>112</v>
      </c>
      <c r="X30" s="6"/>
      <c r="Y30" s="6"/>
      <c r="Z30" s="6"/>
    </row>
    <row r="31" ht="22.5" customHeight="1">
      <c r="A31" s="4">
        <v>46007.58108582176</v>
      </c>
      <c r="B31" s="5" t="s">
        <v>82</v>
      </c>
      <c r="C31" s="5" t="s">
        <v>52</v>
      </c>
      <c r="D31" s="5">
        <v>4.0</v>
      </c>
      <c r="E31" s="5">
        <v>4.0</v>
      </c>
      <c r="F31" s="5">
        <v>4.0</v>
      </c>
      <c r="G31" s="5">
        <v>4.0</v>
      </c>
      <c r="H31" s="5">
        <v>4.0</v>
      </c>
      <c r="I31" s="5">
        <v>4.0</v>
      </c>
      <c r="J31" s="5">
        <v>4.0</v>
      </c>
      <c r="K31" s="5">
        <v>4.0</v>
      </c>
      <c r="L31" s="5">
        <v>4.0</v>
      </c>
      <c r="M31" s="5">
        <v>4.0</v>
      </c>
      <c r="N31" s="5">
        <v>4.0</v>
      </c>
      <c r="O31" s="5">
        <v>4.0</v>
      </c>
      <c r="P31" s="5">
        <v>4.0</v>
      </c>
      <c r="Q31" s="5">
        <v>4.0</v>
      </c>
      <c r="R31" s="5">
        <v>4.0</v>
      </c>
      <c r="S31" s="5" t="s">
        <v>113</v>
      </c>
      <c r="T31" s="5" t="s">
        <v>113</v>
      </c>
      <c r="U31" s="5" t="s">
        <v>113</v>
      </c>
      <c r="V31" s="5" t="s">
        <v>113</v>
      </c>
      <c r="W31" s="5" t="s">
        <v>113</v>
      </c>
      <c r="X31" s="6"/>
      <c r="Y31" s="6"/>
      <c r="Z31" s="6"/>
    </row>
    <row r="32" ht="22.5" customHeight="1">
      <c r="A32" s="4">
        <v>46007.59526969907</v>
      </c>
      <c r="B32" s="5" t="s">
        <v>44</v>
      </c>
      <c r="C32" s="5" t="s">
        <v>52</v>
      </c>
      <c r="D32" s="5">
        <v>4.0</v>
      </c>
      <c r="E32" s="5">
        <v>4.0</v>
      </c>
      <c r="F32" s="5">
        <v>4.0</v>
      </c>
      <c r="G32" s="5">
        <v>4.0</v>
      </c>
      <c r="H32" s="5">
        <v>4.0</v>
      </c>
      <c r="I32" s="5">
        <v>4.0</v>
      </c>
      <c r="J32" s="5">
        <v>4.0</v>
      </c>
      <c r="K32" s="5">
        <v>2.0</v>
      </c>
      <c r="L32" s="5">
        <v>4.0</v>
      </c>
      <c r="M32" s="5">
        <v>4.0</v>
      </c>
      <c r="N32" s="5">
        <v>4.0</v>
      </c>
      <c r="O32" s="5">
        <v>4.0</v>
      </c>
      <c r="P32" s="5">
        <v>4.0</v>
      </c>
      <c r="Q32" s="5">
        <v>4.0</v>
      </c>
      <c r="R32" s="5">
        <v>4.0</v>
      </c>
      <c r="S32" s="5" t="s">
        <v>62</v>
      </c>
      <c r="T32" s="5" t="s">
        <v>62</v>
      </c>
      <c r="U32" s="5" t="s">
        <v>36</v>
      </c>
      <c r="V32" s="5" t="s">
        <v>36</v>
      </c>
      <c r="W32" s="5" t="s">
        <v>36</v>
      </c>
      <c r="X32" s="6"/>
      <c r="Y32" s="6"/>
      <c r="Z32" s="6"/>
    </row>
    <row r="33" ht="22.5" customHeight="1">
      <c r="A33" s="4">
        <v>46007.88097545139</v>
      </c>
      <c r="B33" s="5" t="s">
        <v>82</v>
      </c>
      <c r="C33" s="5" t="s">
        <v>52</v>
      </c>
      <c r="D33" s="5">
        <v>4.0</v>
      </c>
      <c r="E33" s="5">
        <v>3.0</v>
      </c>
      <c r="F33" s="5">
        <v>4.0</v>
      </c>
      <c r="G33" s="5">
        <v>3.0</v>
      </c>
      <c r="H33" s="5">
        <v>4.0</v>
      </c>
      <c r="I33" s="5">
        <v>4.0</v>
      </c>
      <c r="J33" s="5">
        <v>4.0</v>
      </c>
      <c r="K33" s="5">
        <v>4.0</v>
      </c>
      <c r="L33" s="5">
        <v>4.0</v>
      </c>
      <c r="M33" s="5">
        <v>4.0</v>
      </c>
      <c r="N33" s="5">
        <v>4.0</v>
      </c>
      <c r="O33" s="5">
        <v>4.0</v>
      </c>
      <c r="P33" s="5">
        <v>4.0</v>
      </c>
      <c r="Q33" s="5">
        <v>4.0</v>
      </c>
      <c r="R33" s="5">
        <v>4.0</v>
      </c>
      <c r="S33" s="5" t="s">
        <v>59</v>
      </c>
      <c r="T33" s="5" t="s">
        <v>59</v>
      </c>
      <c r="U33" s="5" t="s">
        <v>59</v>
      </c>
      <c r="V33" s="5" t="s">
        <v>59</v>
      </c>
      <c r="W33" s="5" t="s">
        <v>59</v>
      </c>
      <c r="X33" s="6"/>
      <c r="Y33" s="6"/>
      <c r="Z33" s="6"/>
    </row>
    <row r="34">
      <c r="S34" s="14"/>
      <c r="T34" s="14"/>
      <c r="U34" s="14"/>
      <c r="V34" s="14"/>
      <c r="W34" s="14"/>
      <c r="X34" s="14"/>
      <c r="Y34" s="14"/>
      <c r="Z34" s="14"/>
    </row>
    <row r="35">
      <c r="S35" s="14"/>
      <c r="T35" s="14"/>
      <c r="U35" s="14"/>
      <c r="V35" s="14"/>
      <c r="W35" s="14"/>
      <c r="X35" s="14"/>
      <c r="Y35" s="14"/>
      <c r="Z35" s="14"/>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c r="A37" s="15"/>
      <c r="B37" s="16" t="s">
        <v>114</v>
      </c>
      <c r="C37" s="16" t="s">
        <v>115</v>
      </c>
      <c r="D37" s="17" t="s">
        <v>116</v>
      </c>
      <c r="E37" s="18"/>
      <c r="F37" s="18"/>
      <c r="G37" s="18"/>
      <c r="H37" s="19"/>
      <c r="I37" s="20" t="s">
        <v>117</v>
      </c>
      <c r="J37" s="18"/>
      <c r="K37" s="18"/>
      <c r="L37" s="18"/>
      <c r="M37" s="19"/>
      <c r="N37" s="20" t="s">
        <v>118</v>
      </c>
      <c r="O37" s="18"/>
      <c r="P37" s="18"/>
      <c r="Q37" s="18"/>
      <c r="R37" s="19"/>
      <c r="S37" s="21" t="s">
        <v>119</v>
      </c>
      <c r="U37" s="15"/>
      <c r="V37" s="15"/>
      <c r="W37" s="15"/>
      <c r="X37" s="15"/>
      <c r="Y37" s="15"/>
      <c r="Z37" s="15"/>
      <c r="AA37" s="15"/>
    </row>
    <row r="38">
      <c r="A38" s="15"/>
      <c r="D38" s="22" t="s">
        <v>120</v>
      </c>
      <c r="E38" s="22" t="s">
        <v>121</v>
      </c>
      <c r="F38" s="22" t="s">
        <v>122</v>
      </c>
      <c r="G38" s="22" t="s">
        <v>123</v>
      </c>
      <c r="H38" s="22" t="s">
        <v>124</v>
      </c>
      <c r="I38" s="22" t="s">
        <v>120</v>
      </c>
      <c r="J38" s="22" t="s">
        <v>121</v>
      </c>
      <c r="K38" s="22" t="s">
        <v>122</v>
      </c>
      <c r="L38" s="22" t="s">
        <v>123</v>
      </c>
      <c r="M38" s="22" t="s">
        <v>124</v>
      </c>
      <c r="N38" s="22" t="s">
        <v>120</v>
      </c>
      <c r="O38" s="22" t="s">
        <v>121</v>
      </c>
      <c r="P38" s="22" t="s">
        <v>122</v>
      </c>
      <c r="Q38" s="22" t="s">
        <v>123</v>
      </c>
      <c r="R38" s="22" t="s">
        <v>124</v>
      </c>
      <c r="U38" s="15"/>
      <c r="V38" s="15"/>
      <c r="W38" s="15"/>
      <c r="X38" s="15"/>
      <c r="Y38" s="15"/>
      <c r="Z38" s="15"/>
      <c r="AA38" s="15"/>
    </row>
    <row r="39">
      <c r="A39" s="15"/>
      <c r="B39" s="23" t="s">
        <v>51</v>
      </c>
      <c r="C39" s="24">
        <f>COUNTIF($B$2:$B$34, "1st Year")</f>
        <v>2</v>
      </c>
      <c r="D39" s="25">
        <f t="shared" ref="D39:R39" si="1">ROUND(AVERAGEIF($B$2:$B$33, "1st Year", D$2:D$33), 2)</f>
        <v>3.5</v>
      </c>
      <c r="E39" s="25">
        <f t="shared" si="1"/>
        <v>4</v>
      </c>
      <c r="F39" s="25">
        <f t="shared" si="1"/>
        <v>4</v>
      </c>
      <c r="G39" s="25">
        <f t="shared" si="1"/>
        <v>3.5</v>
      </c>
      <c r="H39" s="25">
        <f t="shared" si="1"/>
        <v>4</v>
      </c>
      <c r="I39" s="25">
        <f t="shared" si="1"/>
        <v>3.5</v>
      </c>
      <c r="J39" s="25">
        <f t="shared" si="1"/>
        <v>3.5</v>
      </c>
      <c r="K39" s="25">
        <f t="shared" si="1"/>
        <v>4</v>
      </c>
      <c r="L39" s="25">
        <f t="shared" si="1"/>
        <v>4</v>
      </c>
      <c r="M39" s="25">
        <f t="shared" si="1"/>
        <v>4</v>
      </c>
      <c r="N39" s="25">
        <f t="shared" si="1"/>
        <v>3.5</v>
      </c>
      <c r="O39" s="25">
        <f t="shared" si="1"/>
        <v>4</v>
      </c>
      <c r="P39" s="25">
        <f t="shared" si="1"/>
        <v>3</v>
      </c>
      <c r="Q39" s="25">
        <f t="shared" si="1"/>
        <v>3.5</v>
      </c>
      <c r="R39" s="25">
        <f t="shared" si="1"/>
        <v>4</v>
      </c>
      <c r="S39" s="24"/>
      <c r="T39" s="24"/>
      <c r="U39" s="15"/>
      <c r="V39" s="15"/>
      <c r="W39" s="15"/>
      <c r="X39" s="15"/>
      <c r="Y39" s="15"/>
      <c r="Z39" s="15"/>
      <c r="AA39" s="15"/>
    </row>
    <row r="40">
      <c r="A40" s="15"/>
      <c r="B40" s="26" t="s">
        <v>26</v>
      </c>
      <c r="C40" s="27">
        <f>COUNTIF($B$2:$B$34, "2nd Year")</f>
        <v>8</v>
      </c>
      <c r="D40" s="28">
        <f t="shared" ref="D40:R40" si="2">ROUND(AVERAGEIF($B$2:$B$33, "2nd Year", D$2:D$33), 2)</f>
        <v>3.5</v>
      </c>
      <c r="E40" s="28">
        <f t="shared" si="2"/>
        <v>3.5</v>
      </c>
      <c r="F40" s="28">
        <f t="shared" si="2"/>
        <v>3.13</v>
      </c>
      <c r="G40" s="28">
        <f t="shared" si="2"/>
        <v>3.38</v>
      </c>
      <c r="H40" s="28">
        <f t="shared" si="2"/>
        <v>3.63</v>
      </c>
      <c r="I40" s="28">
        <f t="shared" si="2"/>
        <v>3.38</v>
      </c>
      <c r="J40" s="28">
        <f t="shared" si="2"/>
        <v>3</v>
      </c>
      <c r="K40" s="28">
        <f t="shared" si="2"/>
        <v>3.38</v>
      </c>
      <c r="L40" s="28">
        <f t="shared" si="2"/>
        <v>3.63</v>
      </c>
      <c r="M40" s="28">
        <f t="shared" si="2"/>
        <v>3.5</v>
      </c>
      <c r="N40" s="28">
        <f t="shared" si="2"/>
        <v>3.63</v>
      </c>
      <c r="O40" s="28">
        <f t="shared" si="2"/>
        <v>3.25</v>
      </c>
      <c r="P40" s="28">
        <f t="shared" si="2"/>
        <v>3.5</v>
      </c>
      <c r="Q40" s="28">
        <f t="shared" si="2"/>
        <v>3.38</v>
      </c>
      <c r="R40" s="28">
        <f t="shared" si="2"/>
        <v>3.25</v>
      </c>
      <c r="S40" s="27"/>
      <c r="T40" s="27"/>
      <c r="U40" s="15"/>
      <c r="V40" s="15"/>
      <c r="W40" s="15"/>
      <c r="X40" s="15"/>
      <c r="Y40" s="15"/>
      <c r="Z40" s="15"/>
      <c r="AA40" s="15"/>
    </row>
    <row r="41">
      <c r="A41" s="15"/>
      <c r="B41" s="29" t="s">
        <v>82</v>
      </c>
      <c r="C41" s="24">
        <f>COUNTIF($B$2:$B$34, "3rd Year")</f>
        <v>13</v>
      </c>
      <c r="D41" s="25">
        <f t="shared" ref="D41:R41" si="3">ROUND(AVERAGEIF($B$2:$B$33, "3rd Year", D$2:D$33), 2)</f>
        <v>3.54</v>
      </c>
      <c r="E41" s="25">
        <f t="shared" si="3"/>
        <v>3.38</v>
      </c>
      <c r="F41" s="25">
        <f t="shared" si="3"/>
        <v>3.23</v>
      </c>
      <c r="G41" s="25">
        <f t="shared" si="3"/>
        <v>3.23</v>
      </c>
      <c r="H41" s="25">
        <f t="shared" si="3"/>
        <v>3.46</v>
      </c>
      <c r="I41" s="25">
        <f t="shared" si="3"/>
        <v>3.38</v>
      </c>
      <c r="J41" s="25">
        <f t="shared" si="3"/>
        <v>3.38</v>
      </c>
      <c r="K41" s="25">
        <f t="shared" si="3"/>
        <v>3.08</v>
      </c>
      <c r="L41" s="25">
        <f t="shared" si="3"/>
        <v>3.38</v>
      </c>
      <c r="M41" s="25">
        <f t="shared" si="3"/>
        <v>3.46</v>
      </c>
      <c r="N41" s="25">
        <f t="shared" si="3"/>
        <v>3.46</v>
      </c>
      <c r="O41" s="25">
        <f t="shared" si="3"/>
        <v>3.31</v>
      </c>
      <c r="P41" s="25">
        <f t="shared" si="3"/>
        <v>3.62</v>
      </c>
      <c r="Q41" s="25">
        <f t="shared" si="3"/>
        <v>3.46</v>
      </c>
      <c r="R41" s="25">
        <f t="shared" si="3"/>
        <v>3.46</v>
      </c>
      <c r="S41" s="30" t="s">
        <v>125</v>
      </c>
      <c r="U41" s="15"/>
      <c r="V41" s="15"/>
      <c r="W41" s="15"/>
      <c r="X41" s="15"/>
      <c r="Y41" s="15"/>
      <c r="Z41" s="15"/>
      <c r="AA41" s="15"/>
    </row>
    <row r="42">
      <c r="A42" s="15"/>
      <c r="B42" s="26" t="s">
        <v>44</v>
      </c>
      <c r="C42" s="27">
        <f>COUNTIF($B$2:$B$34, "4th Year")</f>
        <v>8</v>
      </c>
      <c r="D42" s="28">
        <f t="shared" ref="D42:R42" si="4">ROUND(AVERAGEIF($B$2:$B$33, "4th Year", D$2:D$33), 2)</f>
        <v>3.5</v>
      </c>
      <c r="E42" s="28">
        <f t="shared" si="4"/>
        <v>3.38</v>
      </c>
      <c r="F42" s="28">
        <f t="shared" si="4"/>
        <v>3.25</v>
      </c>
      <c r="G42" s="28">
        <f t="shared" si="4"/>
        <v>3</v>
      </c>
      <c r="H42" s="28">
        <f t="shared" si="4"/>
        <v>3.13</v>
      </c>
      <c r="I42" s="28">
        <f t="shared" si="4"/>
        <v>3.13</v>
      </c>
      <c r="J42" s="28">
        <f t="shared" si="4"/>
        <v>3.13</v>
      </c>
      <c r="K42" s="28">
        <f t="shared" si="4"/>
        <v>2.5</v>
      </c>
      <c r="L42" s="28">
        <f t="shared" si="4"/>
        <v>3.25</v>
      </c>
      <c r="M42" s="28">
        <f t="shared" si="4"/>
        <v>3.38</v>
      </c>
      <c r="N42" s="28">
        <f t="shared" si="4"/>
        <v>3.5</v>
      </c>
      <c r="O42" s="28">
        <f t="shared" si="4"/>
        <v>3.5</v>
      </c>
      <c r="P42" s="28">
        <f t="shared" si="4"/>
        <v>3.63</v>
      </c>
      <c r="Q42" s="28">
        <f t="shared" si="4"/>
        <v>3.25</v>
      </c>
      <c r="R42" s="28">
        <f t="shared" si="4"/>
        <v>3.38</v>
      </c>
      <c r="S42" s="31" t="s">
        <v>126</v>
      </c>
      <c r="U42" s="15"/>
      <c r="V42" s="15"/>
      <c r="W42" s="15"/>
      <c r="X42" s="15"/>
      <c r="Y42" s="15"/>
      <c r="Z42" s="15"/>
      <c r="AA42" s="15"/>
    </row>
    <row r="43">
      <c r="A43" s="15"/>
      <c r="B43" s="32" t="s">
        <v>58</v>
      </c>
      <c r="C43" s="24">
        <f>COUNTIF($B$2:$B$34, "Admin")</f>
        <v>1</v>
      </c>
      <c r="D43" s="33">
        <f>AVERAGEIF(Form_Responses[Participants], "Admin", Form_Responses[1. I found the system simple and easy to use.])</f>
        <v>3</v>
      </c>
      <c r="E43" s="34">
        <f>AVERAGEIF(Form_Responses[Participants], "Admin", Form_Responses[2.  I observed that the features of the system worked well together.])</f>
        <v>3</v>
      </c>
      <c r="F43" s="34">
        <f>AVERAGEIF(Form_Responses[Participants], "Admin", Form_Responses[3. I believe that most users would learn to use the system quickly.])</f>
        <v>3</v>
      </c>
      <c r="G43" s="34">
        <f>AVERAGEIF(Form_Responses[Participants], "Admin", Form_Responses[4. I felt comfortable and confident while using the system.])</f>
        <v>3</v>
      </c>
      <c r="H43" s="35">
        <f>AVERAGEIF(Form_Responses[Participants], "Admin", Form_Responses[5. I found it easy to understand how each function of the system works.])</f>
        <v>3</v>
      </c>
      <c r="I43" s="36">
        <f t="shared" ref="I43:R43" si="5">AVERAGEIF($B$2:$B$33, "Admin", I$2:I$33)</f>
        <v>2</v>
      </c>
      <c r="J43" s="36">
        <f t="shared" si="5"/>
        <v>2</v>
      </c>
      <c r="K43" s="36">
        <f t="shared" si="5"/>
        <v>2</v>
      </c>
      <c r="L43" s="36">
        <f t="shared" si="5"/>
        <v>2</v>
      </c>
      <c r="M43" s="36">
        <f t="shared" si="5"/>
        <v>3</v>
      </c>
      <c r="N43" s="36">
        <f t="shared" si="5"/>
        <v>3</v>
      </c>
      <c r="O43" s="36">
        <f t="shared" si="5"/>
        <v>3</v>
      </c>
      <c r="P43" s="36">
        <f t="shared" si="5"/>
        <v>2</v>
      </c>
      <c r="Q43" s="36">
        <f t="shared" si="5"/>
        <v>3</v>
      </c>
      <c r="R43" s="36">
        <f t="shared" si="5"/>
        <v>2</v>
      </c>
      <c r="S43" s="30" t="s">
        <v>127</v>
      </c>
      <c r="U43" s="15"/>
      <c r="V43" s="15"/>
      <c r="W43" s="15"/>
      <c r="X43" s="15"/>
      <c r="Y43" s="15"/>
      <c r="Z43" s="15"/>
      <c r="AA43" s="15"/>
    </row>
    <row r="44">
      <c r="A44" s="15"/>
      <c r="B44" s="37" t="s">
        <v>128</v>
      </c>
      <c r="C44" s="38">
        <f>SUM(C39:C43)</f>
        <v>32</v>
      </c>
      <c r="D44" s="15"/>
      <c r="E44" s="15"/>
      <c r="F44" s="15"/>
      <c r="G44" s="15"/>
      <c r="H44" s="15"/>
      <c r="I44" s="15"/>
      <c r="J44" s="15"/>
      <c r="K44" s="15"/>
      <c r="L44" s="15"/>
      <c r="M44" s="15"/>
      <c r="N44" s="15"/>
      <c r="O44" s="15"/>
      <c r="P44" s="15"/>
      <c r="Q44" s="15"/>
      <c r="R44" s="15"/>
      <c r="S44" s="15"/>
      <c r="T44" s="15"/>
      <c r="U44" s="15"/>
      <c r="V44" s="15"/>
      <c r="W44" s="15"/>
      <c r="X44" s="15"/>
      <c r="Y44" s="15"/>
      <c r="Z44" s="15"/>
      <c r="AA44" s="15"/>
    </row>
    <row r="45">
      <c r="A45" s="15"/>
      <c r="B45" s="39" t="s">
        <v>129</v>
      </c>
      <c r="C45" s="40"/>
      <c r="D45" s="40">
        <f t="shared" ref="D45:R45" si="6">ROUND(AVERAGE(D39:D43), 2)</f>
        <v>3.41</v>
      </c>
      <c r="E45" s="40">
        <f t="shared" si="6"/>
        <v>3.45</v>
      </c>
      <c r="F45" s="40">
        <f t="shared" si="6"/>
        <v>3.32</v>
      </c>
      <c r="G45" s="40">
        <f t="shared" si="6"/>
        <v>3.22</v>
      </c>
      <c r="H45" s="40">
        <f t="shared" si="6"/>
        <v>3.44</v>
      </c>
      <c r="I45" s="40">
        <f t="shared" si="6"/>
        <v>3.08</v>
      </c>
      <c r="J45" s="40">
        <f t="shared" si="6"/>
        <v>3</v>
      </c>
      <c r="K45" s="40">
        <f t="shared" si="6"/>
        <v>2.99</v>
      </c>
      <c r="L45" s="40">
        <f t="shared" si="6"/>
        <v>3.25</v>
      </c>
      <c r="M45" s="40">
        <f t="shared" si="6"/>
        <v>3.47</v>
      </c>
      <c r="N45" s="40">
        <f t="shared" si="6"/>
        <v>3.42</v>
      </c>
      <c r="O45" s="40">
        <f t="shared" si="6"/>
        <v>3.41</v>
      </c>
      <c r="P45" s="40">
        <f t="shared" si="6"/>
        <v>3.15</v>
      </c>
      <c r="Q45" s="40">
        <f t="shared" si="6"/>
        <v>3.32</v>
      </c>
      <c r="R45" s="40">
        <f t="shared" si="6"/>
        <v>3.22</v>
      </c>
      <c r="S45" s="15"/>
      <c r="T45" s="15"/>
      <c r="U45" s="15"/>
      <c r="V45" s="15"/>
      <c r="W45" s="15"/>
      <c r="X45" s="15"/>
      <c r="Y45" s="15"/>
      <c r="Z45" s="15"/>
      <c r="AA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c r="A48" s="15"/>
      <c r="B48" s="15"/>
      <c r="C48" s="15"/>
      <c r="D48" s="15"/>
      <c r="E48" s="15"/>
      <c r="F48" s="15"/>
      <c r="G48" s="41" t="s">
        <v>129</v>
      </c>
      <c r="H48" s="15"/>
      <c r="I48" s="15"/>
      <c r="J48" s="15"/>
      <c r="K48" s="15"/>
      <c r="L48" s="15"/>
      <c r="M48" s="15"/>
      <c r="N48" s="15"/>
      <c r="O48" s="15"/>
      <c r="P48" s="15"/>
      <c r="Q48" s="15"/>
      <c r="R48" s="15"/>
      <c r="S48" s="15"/>
      <c r="T48" s="15"/>
      <c r="U48" s="15"/>
      <c r="V48" s="15"/>
      <c r="W48" s="15"/>
      <c r="X48" s="15"/>
      <c r="Y48" s="15"/>
      <c r="Z48" s="15"/>
      <c r="AA48" s="15"/>
    </row>
    <row r="49">
      <c r="A49" s="15"/>
      <c r="B49" s="15"/>
      <c r="C49" s="15"/>
      <c r="D49" s="15"/>
      <c r="E49" s="17" t="s">
        <v>116</v>
      </c>
      <c r="F49" s="19"/>
      <c r="G49" s="42">
        <f>AVERAGE(D45:H45)</f>
        <v>3.368</v>
      </c>
      <c r="H49" s="15"/>
      <c r="I49" s="15"/>
      <c r="J49" s="15"/>
      <c r="K49" s="15"/>
      <c r="L49" s="15"/>
      <c r="M49" s="15"/>
      <c r="N49" s="15"/>
      <c r="O49" s="15"/>
      <c r="P49" s="15"/>
      <c r="Q49" s="15"/>
      <c r="R49" s="15"/>
      <c r="S49" s="15"/>
      <c r="T49" s="15"/>
      <c r="U49" s="15"/>
      <c r="V49" s="15"/>
      <c r="W49" s="15"/>
      <c r="X49" s="15"/>
      <c r="Y49" s="15"/>
      <c r="Z49" s="15"/>
      <c r="AA49" s="15"/>
    </row>
    <row r="50">
      <c r="A50" s="15"/>
      <c r="B50" s="15"/>
      <c r="C50" s="15"/>
      <c r="D50" s="15"/>
      <c r="E50" s="43" t="s">
        <v>117</v>
      </c>
      <c r="F50" s="19"/>
      <c r="G50" s="42">
        <f>AVERAGE(I45:M45)</f>
        <v>3.158</v>
      </c>
      <c r="H50" s="15"/>
      <c r="I50" s="15"/>
      <c r="J50" s="15"/>
      <c r="K50" s="15"/>
      <c r="L50" s="15"/>
      <c r="M50" s="15"/>
      <c r="N50" s="15"/>
      <c r="O50" s="15"/>
      <c r="P50" s="15"/>
      <c r="Q50" s="15"/>
      <c r="R50" s="15"/>
      <c r="S50" s="15"/>
      <c r="T50" s="15"/>
      <c r="U50" s="15"/>
      <c r="V50" s="15"/>
      <c r="W50" s="15"/>
      <c r="X50" s="15"/>
      <c r="Y50" s="15"/>
      <c r="Z50" s="15"/>
      <c r="AA50" s="15"/>
    </row>
    <row r="51">
      <c r="A51" s="15"/>
      <c r="B51" s="15"/>
      <c r="C51" s="15"/>
      <c r="D51" s="21" t="s">
        <v>130</v>
      </c>
      <c r="E51" s="43" t="s">
        <v>118</v>
      </c>
      <c r="F51" s="19"/>
      <c r="G51" s="42">
        <f>AVERAGE(N45:R45)</f>
        <v>3.304</v>
      </c>
      <c r="H51" s="15"/>
      <c r="I51" s="15"/>
      <c r="J51" s="15"/>
      <c r="K51" s="15"/>
      <c r="L51" s="15"/>
      <c r="M51" s="15"/>
      <c r="N51" s="15"/>
      <c r="O51" s="15"/>
      <c r="P51" s="15"/>
      <c r="Q51" s="15"/>
      <c r="R51" s="15"/>
      <c r="S51" s="15"/>
      <c r="T51" s="15"/>
      <c r="U51" s="15"/>
      <c r="V51" s="15"/>
      <c r="W51" s="15"/>
      <c r="X51" s="15"/>
      <c r="Y51" s="15"/>
      <c r="Z51" s="15"/>
      <c r="AA51" s="15"/>
    </row>
    <row r="52">
      <c r="A52" s="15"/>
      <c r="B52" s="15"/>
      <c r="C52" s="15"/>
      <c r="D52" s="15"/>
      <c r="E52" s="15"/>
      <c r="F52" s="44"/>
      <c r="G52" s="15"/>
      <c r="H52" s="15"/>
      <c r="I52" s="15"/>
      <c r="J52" s="15"/>
      <c r="K52" s="15"/>
      <c r="L52" s="15"/>
      <c r="M52" s="15"/>
      <c r="N52" s="15"/>
      <c r="O52" s="15"/>
      <c r="P52" s="15"/>
      <c r="Q52" s="15"/>
      <c r="R52" s="15"/>
      <c r="S52" s="15"/>
      <c r="T52" s="15"/>
      <c r="U52" s="15"/>
      <c r="V52" s="15"/>
      <c r="W52" s="15"/>
      <c r="X52" s="15"/>
      <c r="Y52" s="15"/>
      <c r="Z52" s="15"/>
      <c r="AA52" s="15"/>
    </row>
    <row r="53">
      <c r="A53" s="15"/>
      <c r="B53" s="15"/>
      <c r="C53" s="15"/>
      <c r="D53" s="15"/>
      <c r="E53" s="15"/>
      <c r="F53" s="45"/>
      <c r="G53" s="15"/>
      <c r="H53" s="15"/>
      <c r="I53" s="15"/>
      <c r="J53" s="15"/>
      <c r="K53" s="15"/>
      <c r="L53" s="15"/>
      <c r="M53" s="15"/>
      <c r="N53" s="15"/>
      <c r="O53" s="15"/>
      <c r="P53" s="15"/>
      <c r="Q53" s="15"/>
      <c r="R53" s="15"/>
      <c r="S53" s="15"/>
      <c r="T53" s="15"/>
      <c r="U53" s="15"/>
      <c r="V53" s="15"/>
      <c r="W53" s="15"/>
      <c r="X53" s="15"/>
      <c r="Y53" s="15"/>
      <c r="Z53" s="15"/>
      <c r="AA53" s="15"/>
    </row>
    <row r="54">
      <c r="A54" s="15"/>
      <c r="B54" s="15"/>
      <c r="C54" s="15"/>
      <c r="D54" s="15"/>
      <c r="E54" s="15"/>
      <c r="F54" s="46"/>
      <c r="G54" s="15"/>
      <c r="H54" s="15"/>
      <c r="I54" s="15"/>
      <c r="J54" s="15"/>
      <c r="K54" s="15"/>
      <c r="L54" s="15"/>
      <c r="M54" s="15"/>
      <c r="N54" s="15"/>
      <c r="O54" s="15"/>
      <c r="P54" s="15"/>
      <c r="Q54" s="15"/>
      <c r="R54" s="15"/>
      <c r="S54" s="15"/>
      <c r="T54" s="15"/>
      <c r="U54" s="15"/>
      <c r="V54" s="15"/>
      <c r="W54" s="15"/>
      <c r="X54" s="15"/>
      <c r="Y54" s="15"/>
      <c r="Z54" s="15"/>
      <c r="AA54" s="15"/>
    </row>
    <row r="55">
      <c r="A55" s="15"/>
      <c r="B55" s="15"/>
      <c r="C55" s="15"/>
      <c r="D55" s="15"/>
      <c r="E55" s="15"/>
      <c r="F55" s="47"/>
      <c r="G55" s="15"/>
      <c r="H55" s="15"/>
      <c r="I55" s="15"/>
      <c r="J55" s="15"/>
      <c r="K55" s="15"/>
      <c r="L55" s="15"/>
      <c r="M55" s="15"/>
      <c r="N55" s="15"/>
      <c r="O55" s="15"/>
      <c r="P55" s="15"/>
      <c r="Q55" s="15"/>
      <c r="R55" s="15"/>
      <c r="S55" s="15"/>
      <c r="T55" s="15"/>
      <c r="U55" s="15"/>
      <c r="V55" s="15"/>
      <c r="W55" s="15"/>
      <c r="X55" s="15"/>
      <c r="Y55" s="15"/>
      <c r="Z55" s="15"/>
      <c r="AA55" s="15"/>
    </row>
    <row r="56">
      <c r="A56" s="15"/>
      <c r="B56" s="15"/>
      <c r="C56" s="15"/>
      <c r="D56" s="15"/>
      <c r="E56" s="15"/>
      <c r="F56" s="47"/>
      <c r="G56" s="15"/>
      <c r="H56" s="15"/>
      <c r="I56" s="15"/>
      <c r="J56" s="15"/>
      <c r="K56" s="15"/>
      <c r="L56" s="15"/>
      <c r="M56" s="15"/>
      <c r="N56" s="15"/>
      <c r="O56" s="15"/>
      <c r="P56" s="15"/>
      <c r="Q56" s="15"/>
      <c r="R56" s="15"/>
      <c r="S56" s="15"/>
      <c r="T56" s="15"/>
      <c r="U56" s="15"/>
      <c r="V56" s="15"/>
      <c r="W56" s="15"/>
      <c r="X56" s="15"/>
      <c r="Y56" s="15"/>
      <c r="Z56" s="15"/>
      <c r="AA56" s="15"/>
    </row>
    <row r="57">
      <c r="A57" s="15"/>
      <c r="B57" s="15"/>
      <c r="C57" s="15"/>
      <c r="D57" s="15"/>
      <c r="E57" s="15"/>
      <c r="F57" s="47"/>
      <c r="G57" s="15"/>
      <c r="H57" s="15"/>
      <c r="I57" s="15"/>
      <c r="J57" s="15"/>
      <c r="K57" s="15"/>
      <c r="L57" s="15"/>
      <c r="M57" s="15"/>
      <c r="N57" s="15"/>
      <c r="O57" s="15"/>
      <c r="P57" s="15"/>
      <c r="Q57" s="15"/>
      <c r="R57" s="15"/>
      <c r="S57" s="15"/>
      <c r="T57" s="15"/>
      <c r="U57" s="15"/>
      <c r="V57" s="15"/>
      <c r="W57" s="15"/>
      <c r="X57" s="15"/>
      <c r="Y57" s="15"/>
      <c r="Z57" s="15"/>
      <c r="AA57" s="15"/>
    </row>
    <row r="58">
      <c r="A58" s="15"/>
      <c r="B58" s="15"/>
      <c r="C58" s="15"/>
      <c r="D58" s="15"/>
      <c r="E58" s="15"/>
      <c r="F58" s="47"/>
      <c r="G58" s="15"/>
      <c r="H58" s="15"/>
      <c r="I58" s="15"/>
      <c r="J58" s="15"/>
      <c r="K58" s="15"/>
      <c r="L58" s="15"/>
      <c r="M58" s="15"/>
      <c r="N58" s="15"/>
      <c r="O58" s="15"/>
      <c r="P58" s="15"/>
      <c r="Q58" s="15"/>
      <c r="R58" s="15"/>
      <c r="S58" s="15"/>
      <c r="T58" s="15"/>
      <c r="U58" s="15"/>
      <c r="V58" s="15"/>
      <c r="W58" s="15"/>
      <c r="X58" s="15"/>
      <c r="Y58" s="15"/>
      <c r="Z58" s="15"/>
      <c r="AA58" s="15"/>
    </row>
    <row r="59">
      <c r="A59" s="15"/>
      <c r="B59" s="15"/>
      <c r="C59" s="15"/>
      <c r="D59" s="15"/>
      <c r="E59" s="15"/>
      <c r="G59" s="15"/>
      <c r="H59" s="15"/>
      <c r="I59" s="15"/>
      <c r="J59" s="15"/>
      <c r="K59" s="15"/>
      <c r="L59" s="15"/>
      <c r="M59" s="15"/>
      <c r="N59" s="15"/>
      <c r="O59" s="15"/>
      <c r="P59" s="15"/>
      <c r="Q59" s="15"/>
      <c r="R59" s="15"/>
      <c r="S59" s="15"/>
      <c r="T59" s="15"/>
      <c r="U59" s="15"/>
      <c r="V59" s="15"/>
      <c r="W59" s="15"/>
      <c r="X59" s="15"/>
      <c r="Y59" s="15"/>
      <c r="Z59" s="15"/>
      <c r="AA59" s="15"/>
    </row>
    <row r="60">
      <c r="A60" s="15"/>
      <c r="B60" s="15"/>
      <c r="C60" s="15"/>
      <c r="D60" s="15"/>
      <c r="E60" s="15"/>
      <c r="F60" s="47"/>
      <c r="G60" s="15"/>
      <c r="H60" s="15"/>
      <c r="I60" s="15"/>
      <c r="J60" s="15"/>
      <c r="K60" s="15"/>
      <c r="L60" s="15"/>
      <c r="M60" s="15"/>
      <c r="N60" s="15"/>
      <c r="O60" s="15"/>
      <c r="P60" s="15"/>
      <c r="Q60" s="15"/>
      <c r="R60" s="15"/>
      <c r="S60" s="15"/>
      <c r="T60" s="15"/>
      <c r="U60" s="15"/>
      <c r="V60" s="15"/>
      <c r="W60" s="15"/>
      <c r="X60" s="15"/>
      <c r="Y60" s="15"/>
      <c r="Z60" s="15"/>
      <c r="AA60" s="15"/>
    </row>
    <row r="61">
      <c r="A61" s="15"/>
      <c r="B61" s="15"/>
      <c r="C61" s="15"/>
      <c r="D61" s="15"/>
      <c r="E61" s="15"/>
      <c r="F61" s="47"/>
      <c r="G61" s="15"/>
      <c r="H61" s="15"/>
      <c r="I61" s="15"/>
      <c r="J61" s="15"/>
      <c r="K61" s="15"/>
      <c r="L61" s="15"/>
      <c r="M61" s="15"/>
      <c r="N61" s="15"/>
      <c r="O61" s="15"/>
      <c r="P61" s="15"/>
      <c r="Q61" s="15"/>
      <c r="R61" s="15"/>
      <c r="S61" s="15"/>
      <c r="T61" s="15"/>
      <c r="U61" s="15"/>
      <c r="V61" s="15"/>
      <c r="W61" s="15"/>
      <c r="X61" s="15"/>
      <c r="Y61" s="15"/>
      <c r="Z61" s="15"/>
      <c r="AA61" s="15"/>
    </row>
    <row r="62">
      <c r="A62" s="15"/>
      <c r="B62" s="15"/>
      <c r="C62" s="15"/>
      <c r="D62" s="15"/>
      <c r="E62" s="15"/>
      <c r="F62" s="47"/>
      <c r="G62" s="15"/>
      <c r="H62" s="15"/>
      <c r="I62" s="15"/>
      <c r="J62" s="15"/>
      <c r="K62" s="15"/>
      <c r="L62" s="15"/>
      <c r="M62" s="15"/>
      <c r="N62" s="15"/>
      <c r="O62" s="15"/>
      <c r="P62" s="15"/>
      <c r="Q62" s="15"/>
      <c r="R62" s="15"/>
      <c r="S62" s="15"/>
      <c r="T62" s="15"/>
      <c r="U62" s="15"/>
      <c r="V62" s="15"/>
      <c r="W62" s="15"/>
      <c r="X62" s="15"/>
      <c r="Y62" s="15"/>
      <c r="Z62" s="15"/>
      <c r="AA62" s="15"/>
    </row>
    <row r="63">
      <c r="A63" s="15"/>
      <c r="B63" s="15"/>
      <c r="C63" s="15"/>
      <c r="D63" s="15"/>
      <c r="E63" s="15"/>
      <c r="F63" s="47"/>
      <c r="G63" s="15"/>
      <c r="H63" s="15"/>
      <c r="I63" s="15"/>
      <c r="J63" s="15"/>
      <c r="K63" s="15"/>
      <c r="L63" s="15"/>
      <c r="M63" s="15"/>
      <c r="N63" s="15"/>
      <c r="O63" s="15"/>
      <c r="P63" s="15"/>
      <c r="Q63" s="15"/>
      <c r="R63" s="15"/>
      <c r="S63" s="15"/>
      <c r="T63" s="15"/>
      <c r="U63" s="15"/>
      <c r="V63" s="15"/>
      <c r="W63" s="15"/>
      <c r="X63" s="15"/>
      <c r="Y63" s="15"/>
      <c r="Z63" s="15"/>
      <c r="AA63" s="15"/>
    </row>
  </sheetData>
  <mergeCells count="12">
    <mergeCell ref="S42:T42"/>
    <mergeCell ref="S43:T43"/>
    <mergeCell ref="E49:F49"/>
    <mergeCell ref="E50:F50"/>
    <mergeCell ref="E51:F51"/>
    <mergeCell ref="B37:B38"/>
    <mergeCell ref="C37:C38"/>
    <mergeCell ref="D37:H37"/>
    <mergeCell ref="I37:M37"/>
    <mergeCell ref="N37:R37"/>
    <mergeCell ref="S37:T38"/>
    <mergeCell ref="S41:T41"/>
  </mergeCells>
  <printOptions gridLines="1" horizontalCentered="1"/>
  <pageMargins bottom="0.75" footer="0.0" header="0.0" left="0.7" right="0.7" top="0.75"/>
  <pageSetup fitToHeight="0" cellComments="atEnd" orientation="landscape" pageOrder="overThenDown"/>
  <drawing r:id="rId1"/>
  <tableParts count="1">
    <tablePart r:id="rId3"/>
  </tableParts>
</worksheet>
</file>